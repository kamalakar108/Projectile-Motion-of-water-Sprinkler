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9980" windowHeight="7560" firstSheet="1" activeTab="1"/>
  </bookViews>
  <sheets>
    <sheet name="data" sheetId="1" state="hidden" r:id="rId1"/>
    <sheet name="pump" sheetId="2" r:id="rId2"/>
  </sheets>
  <definedNames>
    <definedName name="ball_count">data!$V$2</definedName>
    <definedName name="Clock">pump!$B$2</definedName>
    <definedName name="Gravity">data!$J$2</definedName>
    <definedName name="Initial_Velocity">pump!$B$5</definedName>
    <definedName name="Max_height">data!$U$2</definedName>
    <definedName name="Max_Range">data!$W$2</definedName>
    <definedName name="Time_Lag">pump!$B$8</definedName>
    <definedName name="Time_steps">pump!$B$12</definedName>
    <definedName name="Total_Time">data!$T$2</definedName>
  </definedNames>
  <calcPr calcId="145621"/>
</workbook>
</file>

<file path=xl/calcChain.xml><?xml version="1.0" encoding="utf-8"?>
<calcChain xmlns="http://schemas.openxmlformats.org/spreadsheetml/2006/main">
  <c r="X12" i="2" l="1"/>
  <c r="X13" i="2"/>
  <c r="X14" i="2"/>
  <c r="X15" i="2"/>
  <c r="X16" i="2"/>
  <c r="X17" i="2"/>
  <c r="X18" i="2"/>
  <c r="X19" i="2"/>
  <c r="X20" i="2"/>
  <c r="X21" i="2"/>
  <c r="X22" i="2"/>
  <c r="X23" i="2"/>
  <c r="X11" i="2"/>
  <c r="W12" i="2"/>
  <c r="W13" i="2"/>
  <c r="W14" i="2"/>
  <c r="W15" i="2"/>
  <c r="W16" i="2"/>
  <c r="W17" i="2"/>
  <c r="W18" i="2"/>
  <c r="W19" i="2"/>
  <c r="W20" i="2"/>
  <c r="W21" i="2"/>
  <c r="W22" i="2"/>
  <c r="W23" i="2"/>
  <c r="W11" i="2"/>
  <c r="B7" i="1"/>
  <c r="D7" i="1" s="1"/>
  <c r="B8" i="1"/>
  <c r="E8" i="1" s="1"/>
  <c r="F8" i="1" s="1"/>
  <c r="W6" i="2"/>
  <c r="X6" i="2" s="1"/>
  <c r="W5" i="2"/>
  <c r="X5" i="2" s="1"/>
  <c r="W4" i="2"/>
  <c r="X4" i="2" s="1"/>
  <c r="W3" i="2"/>
  <c r="X3" i="2" s="1"/>
  <c r="W2" i="2"/>
  <c r="X2" i="2" s="1"/>
  <c r="B3" i="1"/>
  <c r="B4" i="1"/>
  <c r="B5" i="1"/>
  <c r="B6" i="1"/>
  <c r="U2" i="1"/>
  <c r="B2" i="1"/>
  <c r="D8" i="1" l="1"/>
  <c r="G8" i="1" s="1"/>
  <c r="E7" i="1"/>
  <c r="F7" i="1" s="1"/>
  <c r="G7" i="1" s="1"/>
  <c r="H8" i="1"/>
  <c r="E3" i="1"/>
  <c r="D5" i="1"/>
  <c r="E5" i="1"/>
  <c r="H5" i="1" s="1"/>
  <c r="E4" i="1"/>
  <c r="H4" i="1" s="1"/>
  <c r="D4" i="1"/>
  <c r="D3" i="1"/>
  <c r="E2" i="1"/>
  <c r="H2" i="1" s="1"/>
  <c r="D2" i="1"/>
  <c r="V2" i="1"/>
  <c r="H3" i="1" l="1"/>
  <c r="F3" i="1"/>
  <c r="H7" i="1"/>
  <c r="F4" i="1"/>
  <c r="F5" i="1"/>
  <c r="D6" i="1"/>
  <c r="E6" i="1"/>
  <c r="F2" i="1"/>
  <c r="G3" i="1" l="1"/>
  <c r="G5" i="1"/>
  <c r="G4" i="1"/>
  <c r="F6" i="1"/>
  <c r="K8" i="1" s="1"/>
  <c r="H6" i="1"/>
  <c r="G2" i="1"/>
  <c r="K6" i="1" l="1"/>
  <c r="L6" i="1" s="1"/>
  <c r="K3" i="1"/>
  <c r="L3" i="1" s="1"/>
  <c r="K2" i="1"/>
  <c r="M2" i="1" s="1"/>
  <c r="J2" i="1" s="1"/>
  <c r="K5" i="1"/>
  <c r="L5" i="1" s="1"/>
  <c r="K4" i="1"/>
  <c r="L4" i="1" s="1"/>
  <c r="L8" i="1"/>
  <c r="M8" i="1"/>
  <c r="I8" i="1" s="1"/>
  <c r="K7" i="1"/>
  <c r="L7" i="1" s="1"/>
  <c r="G6" i="1"/>
  <c r="R2" i="1" l="1"/>
  <c r="L2" i="1"/>
  <c r="N2" i="1"/>
  <c r="P2" i="1" s="1"/>
  <c r="I2" i="1"/>
  <c r="M7" i="1"/>
  <c r="J7" i="1" s="1"/>
  <c r="R8" i="1"/>
  <c r="J8" i="1"/>
  <c r="N8" i="1"/>
  <c r="O2" i="1" l="1"/>
  <c r="Q2" i="1" s="1"/>
  <c r="I7" i="1"/>
  <c r="R7" i="1"/>
  <c r="N7" i="1"/>
  <c r="P7" i="1" s="1"/>
  <c r="P8" i="1"/>
  <c r="O8" i="1"/>
  <c r="M3" i="1"/>
  <c r="M6" i="1"/>
  <c r="M4" i="1"/>
  <c r="M5" i="1"/>
  <c r="W2" i="1"/>
  <c r="O7" i="1" l="1"/>
  <c r="Q7" i="1" s="1"/>
  <c r="Q8" i="1"/>
  <c r="AB3" i="2"/>
  <c r="Z3" i="2" s="1"/>
  <c r="AB2" i="2"/>
  <c r="Z2" i="2" s="1"/>
  <c r="AB6" i="2"/>
  <c r="Z6" i="2" s="1"/>
  <c r="AB4" i="2"/>
  <c r="Z4" i="2" s="1"/>
  <c r="AB5" i="2"/>
  <c r="Z5" i="2" s="1"/>
  <c r="J5" i="1"/>
  <c r="R5" i="1"/>
  <c r="I5" i="1"/>
  <c r="N5" i="1"/>
  <c r="I6" i="1"/>
  <c r="N6" i="1"/>
  <c r="R6" i="1"/>
  <c r="J6" i="1"/>
  <c r="J4" i="1"/>
  <c r="R4" i="1"/>
  <c r="I4" i="1"/>
  <c r="N4" i="1"/>
  <c r="T2" i="1"/>
  <c r="N3" i="1"/>
  <c r="J3" i="1"/>
  <c r="I3" i="1"/>
  <c r="R3" i="1"/>
  <c r="P3" i="1" l="1"/>
  <c r="O6" i="1"/>
  <c r="O5" i="1"/>
  <c r="P4" i="1"/>
  <c r="O4" i="1"/>
  <c r="O3" i="1"/>
  <c r="P6" i="1"/>
  <c r="P5" i="1"/>
  <c r="Q6" i="1" l="1"/>
  <c r="Q5" i="1"/>
  <c r="Q3" i="1"/>
  <c r="Q4" i="1"/>
</calcChain>
</file>

<file path=xl/sharedStrings.xml><?xml version="1.0" encoding="utf-8"?>
<sst xmlns="http://schemas.openxmlformats.org/spreadsheetml/2006/main" count="36" uniqueCount="33">
  <si>
    <t>U</t>
  </si>
  <si>
    <t>Gravity</t>
  </si>
  <si>
    <t>Row_num</t>
  </si>
  <si>
    <t>Timer</t>
  </si>
  <si>
    <t>Clock</t>
  </si>
  <si>
    <t>Initial_vel</t>
  </si>
  <si>
    <t>Max_height</t>
  </si>
  <si>
    <t>Final UP Time</t>
  </si>
  <si>
    <t>Up Dist</t>
  </si>
  <si>
    <t>Down Dist</t>
  </si>
  <si>
    <t>ball_count</t>
  </si>
  <si>
    <t>Theta</t>
  </si>
  <si>
    <t>Initial_Velocity</t>
  </si>
  <si>
    <t>X_Vel</t>
  </si>
  <si>
    <t>Y_Vel</t>
  </si>
  <si>
    <t>X_dist</t>
  </si>
  <si>
    <t>Y_dist</t>
  </si>
  <si>
    <t>Max_Range</t>
  </si>
  <si>
    <t>Total_Time</t>
  </si>
  <si>
    <t>Max_range</t>
  </si>
  <si>
    <t>Lag</t>
  </si>
  <si>
    <t>Time1</t>
  </si>
  <si>
    <t>Angle</t>
  </si>
  <si>
    <t>Radians</t>
  </si>
  <si>
    <t>X1</t>
  </si>
  <si>
    <t>X2</t>
  </si>
  <si>
    <t>Y1</t>
  </si>
  <si>
    <t>Y2</t>
  </si>
  <si>
    <t>Tan</t>
  </si>
  <si>
    <t>col_F_revised</t>
  </si>
  <si>
    <t>Time_lag</t>
  </si>
  <si>
    <t>No_Lag</t>
  </si>
  <si>
    <t>Time_steps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</si>
</sst>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.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/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165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2" fontId="0" fillId="0" borderId="4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2" borderId="4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7"/>
          </c:marker>
          <c:xVal>
            <c:numRef>
              <c:f>data!$R$2</c:f>
              <c:numCache>
                <c:formatCode>0.00</c:formatCode>
                <c:ptCount val="1"/>
                <c:pt idx="0">
                  <c:v>1019.3679918450559</c:v>
                </c:pt>
              </c:numCache>
            </c:numRef>
          </c:xVal>
          <c:yVal>
            <c:numRef>
              <c:f>data!$Q$2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marker>
            <c:symbol val="circle"/>
            <c:size val="7"/>
          </c:marker>
          <c:xVal>
            <c:numRef>
              <c:f>data!$R$3</c:f>
              <c:numCache>
                <c:formatCode>0.00</c:formatCode>
                <c:ptCount val="1"/>
                <c:pt idx="0">
                  <c:v>882.7985767425472</c:v>
                </c:pt>
              </c:numCache>
            </c:numRef>
          </c:xVal>
          <c:yVal>
            <c:numRef>
              <c:f>data!$Q$3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marker>
            <c:symbol val="circle"/>
            <c:size val="7"/>
          </c:marker>
          <c:xVal>
            <c:numRef>
              <c:f>data!$R$4</c:f>
              <c:numCache>
                <c:formatCode>0.00</c:formatCode>
                <c:ptCount val="1"/>
                <c:pt idx="0">
                  <c:v>509.68399592252797</c:v>
                </c:pt>
              </c:numCache>
            </c:numRef>
          </c:xVal>
          <c:yVal>
            <c:numRef>
              <c:f>data!$Q$4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marker>
            <c:symbol val="circle"/>
            <c:size val="7"/>
          </c:marker>
          <c:xVal>
            <c:numRef>
              <c:f>data!$R$5</c:f>
              <c:numCache>
                <c:formatCode>0.00</c:formatCode>
                <c:ptCount val="1"/>
                <c:pt idx="0">
                  <c:v>1.248877120192273E-13</c:v>
                </c:pt>
              </c:numCache>
            </c:numRef>
          </c:xVal>
          <c:yVal>
            <c:numRef>
              <c:f>data!$Q$5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marker>
            <c:symbol val="circle"/>
            <c:size val="7"/>
          </c:marker>
          <c:xVal>
            <c:numRef>
              <c:f>data!$R$6</c:f>
              <c:numCache>
                <c:formatCode>0.00</c:formatCode>
                <c:ptCount val="1"/>
                <c:pt idx="0">
                  <c:v>-509.68399592252814</c:v>
                </c:pt>
              </c:numCache>
            </c:numRef>
          </c:xVal>
          <c:yVal>
            <c:numRef>
              <c:f>data!$Q$6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5"/>
          <c:order val="5"/>
          <c:marker>
            <c:symbol val="circle"/>
            <c:size val="7"/>
          </c:marker>
          <c:xVal>
            <c:numRef>
              <c:f>data!$R$7</c:f>
              <c:numCache>
                <c:formatCode>0.00</c:formatCode>
                <c:ptCount val="1"/>
                <c:pt idx="0">
                  <c:v>-882.79857674254674</c:v>
                </c:pt>
              </c:numCache>
            </c:numRef>
          </c:xVal>
          <c:yVal>
            <c:numRef>
              <c:f>data!$Q$7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6"/>
          <c:order val="6"/>
          <c:marker>
            <c:symbol val="circle"/>
            <c:size val="7"/>
          </c:marker>
          <c:xVal>
            <c:numRef>
              <c:f>data!$R$8</c:f>
              <c:numCache>
                <c:formatCode>0.00</c:formatCode>
                <c:ptCount val="1"/>
                <c:pt idx="0">
                  <c:v>-1019.3679918450558</c:v>
                </c:pt>
              </c:numCache>
            </c:numRef>
          </c:xVal>
          <c:yVal>
            <c:numRef>
              <c:f>data!$Q$8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7"/>
          <c:order val="7"/>
          <c:marker>
            <c:symbol val="circle"/>
            <c:size val="7"/>
          </c:marker>
          <c:xVal>
            <c:numRef>
              <c:f>data!$R$9</c:f>
              <c:numCache>
                <c:formatCode>0.00</c:formatCode>
                <c:ptCount val="1"/>
              </c:numCache>
            </c:numRef>
          </c:xVal>
          <c:yVal>
            <c:numRef>
              <c:f>data!$Q$9</c:f>
              <c:numCache>
                <c:formatCode>0.0</c:formatCode>
                <c:ptCount val="1"/>
              </c:numCache>
            </c:numRef>
          </c:yVal>
          <c:smooth val="1"/>
        </c:ser>
        <c:ser>
          <c:idx val="8"/>
          <c:order val="8"/>
          <c:marker>
            <c:symbol val="circle"/>
            <c:size val="7"/>
          </c:marker>
          <c:xVal>
            <c:numRef>
              <c:f>data!$R$10</c:f>
              <c:numCache>
                <c:formatCode>0.00</c:formatCode>
                <c:ptCount val="1"/>
              </c:numCache>
            </c:numRef>
          </c:xVal>
          <c:yVal>
            <c:numRef>
              <c:f>data!$Q$10</c:f>
              <c:numCache>
                <c:formatCode>0.0</c:formatCode>
                <c:ptCount val="1"/>
              </c:numCache>
            </c:numRef>
          </c:yVal>
          <c:smooth val="1"/>
        </c:ser>
        <c:ser>
          <c:idx val="9"/>
          <c:order val="9"/>
          <c:marker>
            <c:symbol val="circle"/>
            <c:size val="7"/>
          </c:marker>
          <c:xVal>
            <c:numRef>
              <c:f>data!$R$11</c:f>
              <c:numCache>
                <c:formatCode>0.00</c:formatCode>
                <c:ptCount val="1"/>
              </c:numCache>
            </c:numRef>
          </c:xVal>
          <c:yVal>
            <c:numRef>
              <c:f>data!$Q$11</c:f>
              <c:numCache>
                <c:formatCode>0.0</c:formatCode>
                <c:ptCount val="1"/>
              </c:numCache>
            </c:numRef>
          </c:yVal>
          <c:smooth val="1"/>
        </c:ser>
        <c:ser>
          <c:idx val="10"/>
          <c:order val="10"/>
          <c:marker>
            <c:symbol val="circle"/>
            <c:size val="7"/>
          </c:marker>
          <c:xVal>
            <c:numRef>
              <c:f>data!$R$12</c:f>
              <c:numCache>
                <c:formatCode>0.00</c:formatCode>
                <c:ptCount val="1"/>
              </c:numCache>
            </c:numRef>
          </c:xVal>
          <c:yVal>
            <c:numRef>
              <c:f>data!$Q$12</c:f>
              <c:numCache>
                <c:formatCode>0.0</c:formatCode>
                <c:ptCount val="1"/>
              </c:numCache>
            </c:numRef>
          </c:yVal>
          <c:smooth val="1"/>
        </c:ser>
        <c:ser>
          <c:idx val="11"/>
          <c:order val="11"/>
          <c:marker>
            <c:symbol val="circle"/>
            <c:size val="7"/>
          </c:marker>
          <c:xVal>
            <c:numRef>
              <c:f>data!$R$13</c:f>
              <c:numCache>
                <c:formatCode>0.00</c:formatCode>
                <c:ptCount val="1"/>
              </c:numCache>
            </c:numRef>
          </c:xVal>
          <c:yVal>
            <c:numRef>
              <c:f>data!$Q$13</c:f>
              <c:numCache>
                <c:formatCode>0.0</c:formatCode>
                <c:ptCount val="1"/>
              </c:numCache>
            </c:numRef>
          </c:yVal>
          <c:smooth val="1"/>
        </c:ser>
        <c:ser>
          <c:idx val="12"/>
          <c:order val="12"/>
          <c:marker>
            <c:symbol val="circle"/>
            <c:size val="7"/>
          </c:marker>
          <c:xVal>
            <c:numRef>
              <c:f>data!$R$14</c:f>
              <c:numCache>
                <c:formatCode>0.00</c:formatCode>
                <c:ptCount val="1"/>
              </c:numCache>
            </c:numRef>
          </c:xVal>
          <c:yVal>
            <c:numRef>
              <c:f>data!$Q$14</c:f>
              <c:numCache>
                <c:formatCode>0.0</c:formatCode>
                <c:ptCount val="1"/>
              </c:numCache>
            </c:numRef>
          </c:yVal>
          <c:smooth val="1"/>
        </c:ser>
        <c:ser>
          <c:idx val="13"/>
          <c:order val="13"/>
          <c:marker>
            <c:symbol val="circle"/>
            <c:size val="7"/>
          </c:marker>
          <c:xVal>
            <c:numRef>
              <c:f>data!$R$15</c:f>
              <c:numCache>
                <c:formatCode>0.00</c:formatCode>
                <c:ptCount val="1"/>
              </c:numCache>
            </c:numRef>
          </c:xVal>
          <c:yVal>
            <c:numRef>
              <c:f>data!$Q$15</c:f>
              <c:numCache>
                <c:formatCode>0.0</c:formatCode>
                <c:ptCount val="1"/>
              </c:numCache>
            </c:numRef>
          </c:yVal>
          <c:smooth val="1"/>
        </c:ser>
        <c:ser>
          <c:idx val="14"/>
          <c:order val="14"/>
          <c:marker>
            <c:symbol val="circle"/>
            <c:size val="7"/>
          </c:marker>
          <c:xVal>
            <c:numRef>
              <c:f>data!$R$16</c:f>
              <c:numCache>
                <c:formatCode>0.00</c:formatCode>
                <c:ptCount val="1"/>
              </c:numCache>
            </c:numRef>
          </c:xVal>
          <c:yVal>
            <c:numRef>
              <c:f>data!$Q$16</c:f>
              <c:numCache>
                <c:formatCode>0.0</c:formatCode>
                <c:ptCount val="1"/>
              </c:numCache>
            </c:numRef>
          </c:yVal>
          <c:smooth val="1"/>
        </c:ser>
        <c:ser>
          <c:idx val="15"/>
          <c:order val="15"/>
          <c:marker>
            <c:symbol val="circle"/>
            <c:size val="7"/>
          </c:marker>
          <c:xVal>
            <c:numRef>
              <c:f>data!$R$17</c:f>
              <c:numCache>
                <c:formatCode>0.00</c:formatCode>
                <c:ptCount val="1"/>
              </c:numCache>
            </c:numRef>
          </c:xVal>
          <c:yVal>
            <c:numRef>
              <c:f>data!$Q$17</c:f>
              <c:numCache>
                <c:formatCode>0.0</c:formatCode>
                <c:ptCount val="1"/>
              </c:numCache>
            </c:numRef>
          </c:yVal>
          <c:smooth val="1"/>
        </c:ser>
        <c:ser>
          <c:idx val="16"/>
          <c:order val="16"/>
          <c:marker>
            <c:symbol val="circle"/>
            <c:size val="7"/>
          </c:marker>
          <c:xVal>
            <c:numRef>
              <c:f>data!$R$18</c:f>
              <c:numCache>
                <c:formatCode>0.00</c:formatCode>
                <c:ptCount val="1"/>
              </c:numCache>
            </c:numRef>
          </c:xVal>
          <c:yVal>
            <c:numRef>
              <c:f>data!$Q$18</c:f>
              <c:numCache>
                <c:formatCode>0.0</c:formatCode>
                <c:ptCount val="1"/>
              </c:numCache>
            </c:numRef>
          </c:yVal>
          <c:smooth val="1"/>
        </c:ser>
        <c:ser>
          <c:idx val="17"/>
          <c:order val="17"/>
          <c:marker>
            <c:symbol val="circle"/>
            <c:size val="7"/>
          </c:marker>
          <c:xVal>
            <c:numRef>
              <c:f>data!$R$19</c:f>
              <c:numCache>
                <c:formatCode>0.00</c:formatCode>
                <c:ptCount val="1"/>
              </c:numCache>
            </c:numRef>
          </c:xVal>
          <c:yVal>
            <c:numRef>
              <c:f>data!$Q$19</c:f>
              <c:numCache>
                <c:formatCode>0.0</c:formatCode>
                <c:ptCount val="1"/>
              </c:numCache>
            </c:numRef>
          </c:yVal>
          <c:smooth val="1"/>
        </c:ser>
        <c:ser>
          <c:idx val="18"/>
          <c:order val="18"/>
          <c:marker>
            <c:symbol val="circle"/>
            <c:size val="7"/>
          </c:marker>
          <c:xVal>
            <c:numRef>
              <c:f>data!$R$20</c:f>
              <c:numCache>
                <c:formatCode>0.00</c:formatCode>
                <c:ptCount val="1"/>
              </c:numCache>
            </c:numRef>
          </c:xVal>
          <c:yVal>
            <c:numRef>
              <c:f>data!$Q$20</c:f>
              <c:numCache>
                <c:formatCode>0.0</c:formatCode>
                <c:ptCount val="1"/>
              </c:numCache>
            </c:numRef>
          </c:yVal>
          <c:smooth val="1"/>
        </c:ser>
        <c:ser>
          <c:idx val="19"/>
          <c:order val="19"/>
          <c:marker>
            <c:symbol val="circle"/>
            <c:size val="7"/>
          </c:marker>
          <c:xVal>
            <c:numRef>
              <c:f>data!$R$21</c:f>
              <c:numCache>
                <c:formatCode>0.00</c:formatCode>
                <c:ptCount val="1"/>
              </c:numCache>
            </c:numRef>
          </c:xVal>
          <c:yVal>
            <c:numRef>
              <c:f>data!$Q$21</c:f>
              <c:numCache>
                <c:formatCode>0.0</c:formatCode>
                <c:ptCount val="1"/>
              </c:numCache>
            </c:numRef>
          </c:yVal>
          <c:smooth val="1"/>
        </c:ser>
        <c:ser>
          <c:idx val="20"/>
          <c:order val="20"/>
          <c:marker>
            <c:symbol val="circle"/>
            <c:size val="7"/>
          </c:marker>
          <c:xVal>
            <c:numRef>
              <c:f>data!$R$22</c:f>
              <c:numCache>
                <c:formatCode>0.00</c:formatCode>
                <c:ptCount val="1"/>
              </c:numCache>
            </c:numRef>
          </c:xVal>
          <c:yVal>
            <c:numRef>
              <c:f>data!$Q$22</c:f>
              <c:numCache>
                <c:formatCode>0.0</c:formatCode>
                <c:ptCount val="1"/>
              </c:numCache>
            </c:numRef>
          </c:yVal>
          <c:smooth val="1"/>
        </c:ser>
        <c:ser>
          <c:idx val="21"/>
          <c:order val="21"/>
          <c:marker>
            <c:symbol val="circle"/>
            <c:size val="7"/>
          </c:marker>
          <c:xVal>
            <c:numRef>
              <c:f>data!$R$23</c:f>
              <c:numCache>
                <c:formatCode>0.00</c:formatCode>
                <c:ptCount val="1"/>
              </c:numCache>
            </c:numRef>
          </c:xVal>
          <c:yVal>
            <c:numRef>
              <c:f>data!$Q$23</c:f>
              <c:numCache>
                <c:formatCode>0.0</c:formatCode>
                <c:ptCount val="1"/>
              </c:numCache>
            </c:numRef>
          </c:yVal>
          <c:smooth val="1"/>
        </c:ser>
        <c:ser>
          <c:idx val="22"/>
          <c:order val="22"/>
          <c:marker>
            <c:symbol val="circle"/>
            <c:size val="7"/>
          </c:marker>
          <c:xVal>
            <c:numRef>
              <c:f>data!$R$24</c:f>
              <c:numCache>
                <c:formatCode>0.00</c:formatCode>
                <c:ptCount val="1"/>
              </c:numCache>
            </c:numRef>
          </c:xVal>
          <c:yVal>
            <c:numRef>
              <c:f>data!$Q$24</c:f>
              <c:numCache>
                <c:formatCode>0.0</c:formatCode>
                <c:ptCount val="1"/>
              </c:numCache>
            </c:numRef>
          </c:yVal>
          <c:smooth val="1"/>
        </c:ser>
        <c:ser>
          <c:idx val="23"/>
          <c:order val="23"/>
          <c:marker>
            <c:symbol val="circle"/>
            <c:size val="7"/>
          </c:marker>
          <c:xVal>
            <c:numRef>
              <c:f>data!$R$25</c:f>
              <c:numCache>
                <c:formatCode>0.00</c:formatCode>
                <c:ptCount val="1"/>
              </c:numCache>
            </c:numRef>
          </c:xVal>
          <c:yVal>
            <c:numRef>
              <c:f>data!$Q$25</c:f>
              <c:numCache>
                <c:formatCode>0.0</c:formatCode>
                <c:ptCount val="1"/>
              </c:numCache>
            </c:numRef>
          </c:yVal>
          <c:smooth val="1"/>
        </c:ser>
        <c:ser>
          <c:idx val="24"/>
          <c:order val="24"/>
          <c:marker>
            <c:symbol val="circle"/>
            <c:size val="7"/>
          </c:marker>
          <c:xVal>
            <c:numRef>
              <c:f>data!$R$26</c:f>
              <c:numCache>
                <c:formatCode>0.00</c:formatCode>
                <c:ptCount val="1"/>
              </c:numCache>
            </c:numRef>
          </c:xVal>
          <c:yVal>
            <c:numRef>
              <c:f>data!$Q$26</c:f>
              <c:numCache>
                <c:formatCode>0.0</c:formatCode>
                <c:ptCount val="1"/>
              </c:numCache>
            </c:numRef>
          </c:yVal>
          <c:smooth val="1"/>
        </c:ser>
        <c:ser>
          <c:idx val="25"/>
          <c:order val="25"/>
          <c:marker>
            <c:symbol val="circle"/>
            <c:size val="7"/>
          </c:marker>
          <c:xVal>
            <c:numRef>
              <c:f>data!$R$27</c:f>
              <c:numCache>
                <c:formatCode>0.00</c:formatCode>
                <c:ptCount val="1"/>
              </c:numCache>
            </c:numRef>
          </c:xVal>
          <c:yVal>
            <c:numRef>
              <c:f>data!$Q$27</c:f>
              <c:numCache>
                <c:formatCode>0.0</c:formatCode>
                <c:ptCount val="1"/>
              </c:numCache>
            </c:numRef>
          </c:yVal>
          <c:smooth val="1"/>
        </c:ser>
        <c:ser>
          <c:idx val="26"/>
          <c:order val="26"/>
          <c:marker>
            <c:symbol val="circle"/>
            <c:size val="7"/>
          </c:marker>
          <c:xVal>
            <c:numRef>
              <c:f>data!$R$28</c:f>
              <c:numCache>
                <c:formatCode>0.00</c:formatCode>
                <c:ptCount val="1"/>
              </c:numCache>
            </c:numRef>
          </c:xVal>
          <c:yVal>
            <c:numRef>
              <c:f>data!$Q$28</c:f>
              <c:numCache>
                <c:formatCode>0.0</c:formatCode>
                <c:ptCount val="1"/>
              </c:numCache>
            </c:numRef>
          </c:yVal>
          <c:smooth val="1"/>
        </c:ser>
        <c:ser>
          <c:idx val="27"/>
          <c:order val="27"/>
          <c:marker>
            <c:symbol val="circle"/>
            <c:size val="7"/>
          </c:marker>
          <c:xVal>
            <c:numRef>
              <c:f>data!$R$29</c:f>
              <c:numCache>
                <c:formatCode>0.00</c:formatCode>
                <c:ptCount val="1"/>
              </c:numCache>
            </c:numRef>
          </c:xVal>
          <c:yVal>
            <c:numRef>
              <c:f>data!$Q$29</c:f>
              <c:numCache>
                <c:formatCode>0.0</c:formatCode>
                <c:ptCount val="1"/>
              </c:numCache>
            </c:numRef>
          </c:yVal>
          <c:smooth val="1"/>
        </c:ser>
        <c:ser>
          <c:idx val="28"/>
          <c:order val="28"/>
          <c:marker>
            <c:symbol val="circle"/>
            <c:size val="7"/>
          </c:marker>
          <c:xVal>
            <c:numRef>
              <c:f>data!$R$30</c:f>
              <c:numCache>
                <c:formatCode>0.00</c:formatCode>
                <c:ptCount val="1"/>
              </c:numCache>
            </c:numRef>
          </c:xVal>
          <c:yVal>
            <c:numRef>
              <c:f>data!$Q$30</c:f>
              <c:numCache>
                <c:formatCode>0.0</c:formatCode>
                <c:ptCount val="1"/>
              </c:numCache>
            </c:numRef>
          </c:yVal>
          <c:smooth val="1"/>
        </c:ser>
        <c:ser>
          <c:idx val="29"/>
          <c:order val="29"/>
          <c:marker>
            <c:symbol val="circle"/>
            <c:size val="7"/>
          </c:marker>
          <c:xVal>
            <c:numRef>
              <c:f>data!$R$31</c:f>
              <c:numCache>
                <c:formatCode>0.00</c:formatCode>
                <c:ptCount val="1"/>
              </c:numCache>
            </c:numRef>
          </c:xVal>
          <c:yVal>
            <c:numRef>
              <c:f>data!$Q$31</c:f>
              <c:numCache>
                <c:formatCode>0.0</c:formatCode>
                <c:ptCount val="1"/>
              </c:numCache>
            </c:numRef>
          </c:yVal>
          <c:smooth val="1"/>
        </c:ser>
        <c:ser>
          <c:idx val="30"/>
          <c:order val="30"/>
          <c:marker>
            <c:symbol val="circle"/>
            <c:size val="7"/>
          </c:marker>
          <c:xVal>
            <c:numRef>
              <c:f>data!$R$32</c:f>
              <c:numCache>
                <c:formatCode>0.00</c:formatCode>
                <c:ptCount val="1"/>
              </c:numCache>
            </c:numRef>
          </c:xVal>
          <c:yVal>
            <c:numRef>
              <c:f>data!$Q$32</c:f>
              <c:numCache>
                <c:formatCode>0.0</c:formatCode>
                <c:ptCount val="1"/>
              </c:numCache>
            </c:numRef>
          </c:yVal>
          <c:smooth val="1"/>
        </c:ser>
        <c:ser>
          <c:idx val="31"/>
          <c:order val="31"/>
          <c:marker>
            <c:symbol val="circle"/>
            <c:size val="7"/>
          </c:marker>
          <c:xVal>
            <c:numRef>
              <c:f>data!$R$33</c:f>
              <c:numCache>
                <c:formatCode>0.00</c:formatCode>
                <c:ptCount val="1"/>
              </c:numCache>
            </c:numRef>
          </c:xVal>
          <c:yVal>
            <c:numRef>
              <c:f>data!$Q$33</c:f>
              <c:numCache>
                <c:formatCode>0.0</c:formatCode>
                <c:ptCount val="1"/>
              </c:numCache>
            </c:numRef>
          </c:yVal>
          <c:smooth val="1"/>
        </c:ser>
        <c:ser>
          <c:idx val="32"/>
          <c:order val="32"/>
          <c:marker>
            <c:symbol val="circle"/>
            <c:size val="7"/>
          </c:marker>
          <c:xVal>
            <c:numRef>
              <c:f>data!$R$34</c:f>
              <c:numCache>
                <c:formatCode>0.00</c:formatCode>
                <c:ptCount val="1"/>
              </c:numCache>
            </c:numRef>
          </c:xVal>
          <c:yVal>
            <c:numRef>
              <c:f>data!$Q$34</c:f>
              <c:numCache>
                <c:formatCode>0.0</c:formatCode>
                <c:ptCount val="1"/>
              </c:numCache>
            </c:numRef>
          </c:yVal>
          <c:smooth val="1"/>
        </c:ser>
        <c:ser>
          <c:idx val="33"/>
          <c:order val="33"/>
          <c:marker>
            <c:symbol val="circle"/>
            <c:size val="7"/>
          </c:marker>
          <c:xVal>
            <c:numRef>
              <c:f>data!$R$35</c:f>
              <c:numCache>
                <c:formatCode>0.00</c:formatCode>
                <c:ptCount val="1"/>
              </c:numCache>
            </c:numRef>
          </c:xVal>
          <c:yVal>
            <c:numRef>
              <c:f>data!$Q$35</c:f>
              <c:numCache>
                <c:formatCode>0.0</c:formatCode>
                <c:ptCount val="1"/>
              </c:numCache>
            </c:numRef>
          </c:yVal>
          <c:smooth val="1"/>
        </c:ser>
        <c:ser>
          <c:idx val="34"/>
          <c:order val="34"/>
          <c:marker>
            <c:symbol val="circle"/>
            <c:size val="7"/>
          </c:marker>
          <c:xVal>
            <c:numRef>
              <c:f>data!$R$36</c:f>
              <c:numCache>
                <c:formatCode>0.00</c:formatCode>
                <c:ptCount val="1"/>
              </c:numCache>
            </c:numRef>
          </c:xVal>
          <c:yVal>
            <c:numRef>
              <c:f>data!$Q$36</c:f>
              <c:numCache>
                <c:formatCode>0.0</c:formatCode>
                <c:ptCount val="1"/>
              </c:numCache>
            </c:numRef>
          </c:yVal>
          <c:smooth val="1"/>
        </c:ser>
        <c:ser>
          <c:idx val="35"/>
          <c:order val="35"/>
          <c:marker>
            <c:symbol val="circle"/>
            <c:size val="7"/>
          </c:marker>
          <c:xVal>
            <c:numRef>
              <c:f>data!$R$37</c:f>
              <c:numCache>
                <c:formatCode>0.00</c:formatCode>
                <c:ptCount val="1"/>
              </c:numCache>
            </c:numRef>
          </c:xVal>
          <c:yVal>
            <c:numRef>
              <c:f>data!$Q$37</c:f>
              <c:numCache>
                <c:formatCode>0.0</c:formatCode>
                <c:ptCount val="1"/>
              </c:numCache>
            </c:numRef>
          </c:yVal>
          <c:smooth val="1"/>
        </c:ser>
        <c:ser>
          <c:idx val="36"/>
          <c:order val="36"/>
          <c:marker>
            <c:symbol val="circle"/>
            <c:size val="7"/>
          </c:marker>
          <c:xVal>
            <c:numRef>
              <c:f>data!$R$38</c:f>
              <c:numCache>
                <c:formatCode>0.00</c:formatCode>
                <c:ptCount val="1"/>
              </c:numCache>
            </c:numRef>
          </c:xVal>
          <c:yVal>
            <c:numRef>
              <c:f>data!$Q$38</c:f>
              <c:numCache>
                <c:formatCode>0.0</c:formatCode>
                <c:ptCount val="1"/>
              </c:numCache>
            </c:numRef>
          </c:yVal>
          <c:smooth val="1"/>
        </c:ser>
        <c:ser>
          <c:idx val="37"/>
          <c:order val="37"/>
          <c:marker>
            <c:symbol val="circle"/>
            <c:size val="7"/>
          </c:marker>
          <c:xVal>
            <c:numRef>
              <c:f>data!$R$39</c:f>
              <c:numCache>
                <c:formatCode>0.00</c:formatCode>
                <c:ptCount val="1"/>
              </c:numCache>
            </c:numRef>
          </c:xVal>
          <c:yVal>
            <c:numRef>
              <c:f>data!$Q$39</c:f>
              <c:numCache>
                <c:formatCode>0.0</c:formatCode>
                <c:ptCount val="1"/>
              </c:numCache>
            </c:numRef>
          </c:yVal>
          <c:smooth val="1"/>
        </c:ser>
        <c:ser>
          <c:idx val="38"/>
          <c:order val="38"/>
          <c:marker>
            <c:symbol val="circle"/>
            <c:size val="7"/>
          </c:marker>
          <c:xVal>
            <c:numRef>
              <c:f>data!$R$40</c:f>
              <c:numCache>
                <c:formatCode>0.00</c:formatCode>
                <c:ptCount val="1"/>
              </c:numCache>
            </c:numRef>
          </c:xVal>
          <c:yVal>
            <c:numRef>
              <c:f>data!$Q$40</c:f>
              <c:numCache>
                <c:formatCode>0.0</c:formatCode>
                <c:ptCount val="1"/>
              </c:numCache>
            </c:numRef>
          </c:yVal>
          <c:smooth val="1"/>
        </c:ser>
        <c:ser>
          <c:idx val="39"/>
          <c:order val="39"/>
          <c:marker>
            <c:symbol val="circle"/>
            <c:size val="7"/>
          </c:marker>
          <c:xVal>
            <c:numRef>
              <c:f>data!$R$41</c:f>
              <c:numCache>
                <c:formatCode>0.00</c:formatCode>
                <c:ptCount val="1"/>
              </c:numCache>
            </c:numRef>
          </c:xVal>
          <c:yVal>
            <c:numRef>
              <c:f>data!$Q$41</c:f>
              <c:numCache>
                <c:formatCode>0.0</c:formatCode>
                <c:ptCount val="1"/>
              </c:numCache>
            </c:numRef>
          </c:yVal>
          <c:smooth val="1"/>
        </c:ser>
        <c:ser>
          <c:idx val="40"/>
          <c:order val="40"/>
          <c:marker>
            <c:symbol val="circle"/>
            <c:size val="7"/>
          </c:marker>
          <c:xVal>
            <c:numRef>
              <c:f>data!$R$42</c:f>
              <c:numCache>
                <c:formatCode>0.00</c:formatCode>
                <c:ptCount val="1"/>
              </c:numCache>
            </c:numRef>
          </c:xVal>
          <c:yVal>
            <c:numRef>
              <c:f>data!$Q$42</c:f>
              <c:numCache>
                <c:formatCode>0.0</c:formatCode>
                <c:ptCount val="1"/>
              </c:numCache>
            </c:numRef>
          </c:yVal>
          <c:smooth val="1"/>
        </c:ser>
        <c:ser>
          <c:idx val="41"/>
          <c:order val="41"/>
          <c:marker>
            <c:symbol val="circle"/>
            <c:size val="7"/>
          </c:marker>
          <c:xVal>
            <c:numRef>
              <c:f>data!$R$43</c:f>
              <c:numCache>
                <c:formatCode>0.00</c:formatCode>
                <c:ptCount val="1"/>
              </c:numCache>
            </c:numRef>
          </c:xVal>
          <c:yVal>
            <c:numRef>
              <c:f>data!$Q$43</c:f>
              <c:numCache>
                <c:formatCode>0.0</c:formatCode>
                <c:ptCount val="1"/>
              </c:numCache>
            </c:numRef>
          </c:yVal>
          <c:smooth val="1"/>
        </c:ser>
        <c:ser>
          <c:idx val="42"/>
          <c:order val="42"/>
          <c:marker>
            <c:symbol val="circle"/>
            <c:size val="7"/>
          </c:marker>
          <c:xVal>
            <c:numRef>
              <c:f>data!$R$44</c:f>
              <c:numCache>
                <c:formatCode>0.00</c:formatCode>
                <c:ptCount val="1"/>
              </c:numCache>
            </c:numRef>
          </c:xVal>
          <c:yVal>
            <c:numRef>
              <c:f>data!$Q$44</c:f>
              <c:numCache>
                <c:formatCode>0.0</c:formatCode>
                <c:ptCount val="1"/>
              </c:numCache>
            </c:numRef>
          </c:yVal>
          <c:smooth val="1"/>
        </c:ser>
        <c:ser>
          <c:idx val="43"/>
          <c:order val="43"/>
          <c:marker>
            <c:symbol val="circle"/>
            <c:size val="7"/>
          </c:marker>
          <c:xVal>
            <c:numRef>
              <c:f>data!$R$45</c:f>
              <c:numCache>
                <c:formatCode>0.00</c:formatCode>
                <c:ptCount val="1"/>
              </c:numCache>
            </c:numRef>
          </c:xVal>
          <c:yVal>
            <c:numRef>
              <c:f>data!$Q$45</c:f>
              <c:numCache>
                <c:formatCode>0.0</c:formatCode>
                <c:ptCount val="1"/>
              </c:numCache>
            </c:numRef>
          </c:yVal>
          <c:smooth val="1"/>
        </c:ser>
        <c:ser>
          <c:idx val="44"/>
          <c:order val="44"/>
          <c:marker>
            <c:symbol val="circle"/>
            <c:size val="7"/>
          </c:marker>
          <c:xVal>
            <c:numRef>
              <c:f>data!$R$46</c:f>
              <c:numCache>
                <c:formatCode>0.00</c:formatCode>
                <c:ptCount val="1"/>
              </c:numCache>
            </c:numRef>
          </c:xVal>
          <c:yVal>
            <c:numRef>
              <c:f>data!$Q$46</c:f>
              <c:numCache>
                <c:formatCode>0.0</c:formatCode>
                <c:ptCount val="1"/>
              </c:numCache>
            </c:numRef>
          </c:yVal>
          <c:smooth val="1"/>
        </c:ser>
        <c:ser>
          <c:idx val="45"/>
          <c:order val="45"/>
          <c:marker>
            <c:symbol val="circle"/>
            <c:size val="7"/>
          </c:marker>
          <c:xVal>
            <c:numRef>
              <c:f>data!$R$47</c:f>
              <c:numCache>
                <c:formatCode>0.00</c:formatCode>
                <c:ptCount val="1"/>
              </c:numCache>
            </c:numRef>
          </c:xVal>
          <c:yVal>
            <c:numRef>
              <c:f>data!$Q$47</c:f>
              <c:numCache>
                <c:formatCode>0.0</c:formatCode>
                <c:ptCount val="1"/>
              </c:numCache>
            </c:numRef>
          </c:yVal>
          <c:smooth val="1"/>
        </c:ser>
        <c:ser>
          <c:idx val="46"/>
          <c:order val="46"/>
          <c:marker>
            <c:symbol val="circle"/>
            <c:size val="7"/>
          </c:marker>
          <c:xVal>
            <c:numRef>
              <c:f>data!$R$48</c:f>
              <c:numCache>
                <c:formatCode>0.00</c:formatCode>
                <c:ptCount val="1"/>
              </c:numCache>
            </c:numRef>
          </c:xVal>
          <c:yVal>
            <c:numRef>
              <c:f>data!$Q$48</c:f>
              <c:numCache>
                <c:formatCode>0.0</c:formatCode>
                <c:ptCount val="1"/>
              </c:numCache>
            </c:numRef>
          </c:yVal>
          <c:smooth val="1"/>
        </c:ser>
        <c:ser>
          <c:idx val="47"/>
          <c:order val="47"/>
          <c:marker>
            <c:symbol val="circle"/>
            <c:size val="7"/>
          </c:marker>
          <c:xVal>
            <c:numRef>
              <c:f>data!$R$49</c:f>
              <c:numCache>
                <c:formatCode>0.00</c:formatCode>
                <c:ptCount val="1"/>
              </c:numCache>
            </c:numRef>
          </c:xVal>
          <c:yVal>
            <c:numRef>
              <c:f>data!$Q$49</c:f>
              <c:numCache>
                <c:formatCode>0.0</c:formatCode>
                <c:ptCount val="1"/>
              </c:numCache>
            </c:numRef>
          </c:yVal>
          <c:smooth val="1"/>
        </c:ser>
        <c:ser>
          <c:idx val="48"/>
          <c:order val="48"/>
          <c:marker>
            <c:symbol val="circle"/>
            <c:size val="7"/>
          </c:marker>
          <c:xVal>
            <c:numRef>
              <c:f>data!$R$50</c:f>
              <c:numCache>
                <c:formatCode>0.00</c:formatCode>
                <c:ptCount val="1"/>
              </c:numCache>
            </c:numRef>
          </c:xVal>
          <c:yVal>
            <c:numRef>
              <c:f>data!$Q$50</c:f>
              <c:numCache>
                <c:formatCode>0.0</c:formatCode>
                <c:ptCount val="1"/>
              </c:numCache>
            </c:numRef>
          </c:yVal>
          <c:smooth val="1"/>
        </c:ser>
        <c:ser>
          <c:idx val="49"/>
          <c:order val="49"/>
          <c:marker>
            <c:symbol val="circle"/>
            <c:size val="7"/>
          </c:marker>
          <c:xVal>
            <c:numRef>
              <c:f>data!$R$51</c:f>
              <c:numCache>
                <c:formatCode>0.00</c:formatCode>
                <c:ptCount val="1"/>
              </c:numCache>
            </c:numRef>
          </c:xVal>
          <c:yVal>
            <c:numRef>
              <c:f>data!$Q$51</c:f>
              <c:numCache>
                <c:formatCode>0.0</c:formatCode>
                <c:ptCount val="1"/>
              </c:numCache>
            </c:numRef>
          </c:yVal>
          <c:smooth val="1"/>
        </c:ser>
        <c:ser>
          <c:idx val="50"/>
          <c:order val="50"/>
          <c:marker>
            <c:symbol val="circle"/>
            <c:size val="7"/>
          </c:marker>
          <c:xVal>
            <c:numRef>
              <c:f>data!$R$52</c:f>
              <c:numCache>
                <c:formatCode>0.00</c:formatCode>
                <c:ptCount val="1"/>
              </c:numCache>
            </c:numRef>
          </c:xVal>
          <c:yVal>
            <c:numRef>
              <c:f>data!$Q$52</c:f>
              <c:numCache>
                <c:formatCode>0.0</c:formatCode>
                <c:ptCount val="1"/>
              </c:numCache>
            </c:numRef>
          </c:yVal>
          <c:smooth val="1"/>
        </c:ser>
        <c:ser>
          <c:idx val="51"/>
          <c:order val="51"/>
          <c:marker>
            <c:symbol val="circle"/>
            <c:size val="7"/>
          </c:marker>
          <c:xVal>
            <c:numRef>
              <c:f>data!$R$53</c:f>
              <c:numCache>
                <c:formatCode>0.00</c:formatCode>
                <c:ptCount val="1"/>
              </c:numCache>
            </c:numRef>
          </c:xVal>
          <c:yVal>
            <c:numRef>
              <c:f>data!$Q$53</c:f>
              <c:numCache>
                <c:formatCode>0.0</c:formatCode>
                <c:ptCount val="1"/>
              </c:numCache>
            </c:numRef>
          </c:yVal>
          <c:smooth val="1"/>
        </c:ser>
        <c:ser>
          <c:idx val="52"/>
          <c:order val="52"/>
          <c:marker>
            <c:symbol val="circle"/>
            <c:size val="7"/>
          </c:marker>
          <c:xVal>
            <c:numRef>
              <c:f>data!$R$54</c:f>
              <c:numCache>
                <c:formatCode>0.00</c:formatCode>
                <c:ptCount val="1"/>
              </c:numCache>
            </c:numRef>
          </c:xVal>
          <c:yVal>
            <c:numRef>
              <c:f>data!$Q$54</c:f>
              <c:numCache>
                <c:formatCode>0.0</c:formatCode>
                <c:ptCount val="1"/>
              </c:numCache>
            </c:numRef>
          </c:yVal>
          <c:smooth val="1"/>
        </c:ser>
        <c:ser>
          <c:idx val="53"/>
          <c:order val="53"/>
          <c:marker>
            <c:symbol val="circle"/>
            <c:size val="7"/>
          </c:marker>
          <c:xVal>
            <c:numRef>
              <c:f>data!$R$55</c:f>
              <c:numCache>
                <c:formatCode>0.00</c:formatCode>
                <c:ptCount val="1"/>
              </c:numCache>
            </c:numRef>
          </c:xVal>
          <c:yVal>
            <c:numRef>
              <c:f>data!$Q$55</c:f>
              <c:numCache>
                <c:formatCode>0.0</c:formatCode>
                <c:ptCount val="1"/>
              </c:numCache>
            </c:numRef>
          </c:yVal>
          <c:smooth val="1"/>
        </c:ser>
        <c:ser>
          <c:idx val="54"/>
          <c:order val="54"/>
          <c:marker>
            <c:symbol val="circle"/>
            <c:size val="7"/>
          </c:marker>
          <c:xVal>
            <c:numRef>
              <c:f>data!$R$56</c:f>
              <c:numCache>
                <c:formatCode>0.00</c:formatCode>
                <c:ptCount val="1"/>
              </c:numCache>
            </c:numRef>
          </c:xVal>
          <c:yVal>
            <c:numRef>
              <c:f>data!$Q$56</c:f>
              <c:numCache>
                <c:formatCode>0.0</c:formatCode>
                <c:ptCount val="1"/>
              </c:numCache>
            </c:numRef>
          </c:yVal>
          <c:smooth val="1"/>
        </c:ser>
        <c:ser>
          <c:idx val="55"/>
          <c:order val="55"/>
          <c:marker>
            <c:symbol val="circle"/>
            <c:size val="7"/>
          </c:marker>
          <c:xVal>
            <c:numRef>
              <c:f>data!$R$57</c:f>
              <c:numCache>
                <c:formatCode>0.00</c:formatCode>
                <c:ptCount val="1"/>
              </c:numCache>
            </c:numRef>
          </c:xVal>
          <c:yVal>
            <c:numRef>
              <c:f>data!$Q$57</c:f>
              <c:numCache>
                <c:formatCode>0.0</c:formatCode>
                <c:ptCount val="1"/>
              </c:numCache>
            </c:numRef>
          </c:yVal>
          <c:smooth val="1"/>
        </c:ser>
        <c:ser>
          <c:idx val="56"/>
          <c:order val="56"/>
          <c:marker>
            <c:symbol val="circle"/>
            <c:size val="7"/>
          </c:marker>
          <c:xVal>
            <c:numRef>
              <c:f>data!$R$58</c:f>
              <c:numCache>
                <c:formatCode>0.00</c:formatCode>
                <c:ptCount val="1"/>
              </c:numCache>
            </c:numRef>
          </c:xVal>
          <c:yVal>
            <c:numRef>
              <c:f>data!$Q$58</c:f>
              <c:numCache>
                <c:formatCode>0.0</c:formatCode>
                <c:ptCount val="1"/>
              </c:numCache>
            </c:numRef>
          </c:yVal>
          <c:smooth val="1"/>
        </c:ser>
        <c:ser>
          <c:idx val="57"/>
          <c:order val="57"/>
          <c:marker>
            <c:symbol val="circle"/>
            <c:size val="7"/>
          </c:marker>
          <c:xVal>
            <c:numRef>
              <c:f>data!$R$59</c:f>
              <c:numCache>
                <c:formatCode>0.00</c:formatCode>
                <c:ptCount val="1"/>
              </c:numCache>
            </c:numRef>
          </c:xVal>
          <c:yVal>
            <c:numRef>
              <c:f>data!$Q$59</c:f>
              <c:numCache>
                <c:formatCode>0.0</c:formatCode>
                <c:ptCount val="1"/>
              </c:numCache>
            </c:numRef>
          </c:yVal>
          <c:smooth val="1"/>
        </c:ser>
        <c:ser>
          <c:idx val="58"/>
          <c:order val="58"/>
          <c:marker>
            <c:symbol val="circle"/>
            <c:size val="7"/>
          </c:marker>
          <c:xVal>
            <c:numRef>
              <c:f>data!$R$60</c:f>
              <c:numCache>
                <c:formatCode>0.00</c:formatCode>
                <c:ptCount val="1"/>
              </c:numCache>
            </c:numRef>
          </c:xVal>
          <c:yVal>
            <c:numRef>
              <c:f>data!$Q$60</c:f>
              <c:numCache>
                <c:formatCode>0.0</c:formatCode>
                <c:ptCount val="1"/>
              </c:numCache>
            </c:numRef>
          </c:yVal>
          <c:smooth val="1"/>
        </c:ser>
        <c:ser>
          <c:idx val="59"/>
          <c:order val="59"/>
          <c:marker>
            <c:symbol val="circle"/>
            <c:size val="7"/>
          </c:marker>
          <c:xVal>
            <c:numRef>
              <c:f>data!$R$61</c:f>
              <c:numCache>
                <c:formatCode>0.00</c:formatCode>
                <c:ptCount val="1"/>
              </c:numCache>
            </c:numRef>
          </c:xVal>
          <c:yVal>
            <c:numRef>
              <c:f>data!$Q$61</c:f>
              <c:numCache>
                <c:formatCode>0.0</c:formatCode>
                <c:ptCount val="1"/>
              </c:numCache>
            </c:numRef>
          </c:yVal>
          <c:smooth val="1"/>
        </c:ser>
        <c:ser>
          <c:idx val="60"/>
          <c:order val="60"/>
          <c:tx>
            <c:v>30 degree line</c:v>
          </c:tx>
          <c:xVal>
            <c:numRef>
              <c:f>pump!$Y$2:$Z$2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1019.3679918450559</c:v>
                </c:pt>
              </c:numCache>
            </c:numRef>
          </c:xVal>
          <c:yVal>
            <c:numRef>
              <c:f>pump!$AA$2:$AB$2</c:f>
              <c:numCache>
                <c:formatCode>0</c:formatCode>
                <c:ptCount val="2"/>
                <c:pt idx="0">
                  <c:v>0</c:v>
                </c:pt>
                <c:pt idx="1">
                  <c:v>1019.3679918450559</c:v>
                </c:pt>
              </c:numCache>
            </c:numRef>
          </c:yVal>
          <c:smooth val="1"/>
        </c:ser>
        <c:ser>
          <c:idx val="61"/>
          <c:order val="61"/>
          <c:tx>
            <c:v>60 degree line</c:v>
          </c:tx>
          <c:xVal>
            <c:numRef>
              <c:f>pump!$Y$3:$Z$3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588.53238449503147</c:v>
                </c:pt>
              </c:numCache>
            </c:numRef>
          </c:xVal>
          <c:yVal>
            <c:numRef>
              <c:f>pump!$AA$3:$AB$3</c:f>
              <c:numCache>
                <c:formatCode>0</c:formatCode>
                <c:ptCount val="2"/>
                <c:pt idx="0">
                  <c:v>0</c:v>
                </c:pt>
                <c:pt idx="1">
                  <c:v>1019.3679918450559</c:v>
                </c:pt>
              </c:numCache>
            </c:numRef>
          </c:yVal>
          <c:smooth val="1"/>
        </c:ser>
        <c:ser>
          <c:idx val="62"/>
          <c:order val="62"/>
          <c:tx>
            <c:v>120 degree line</c:v>
          </c:tx>
          <c:xVal>
            <c:numRef>
              <c:f>pump!$Y$5:$Z$5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-588.5323844950309</c:v>
                </c:pt>
              </c:numCache>
            </c:numRef>
          </c:xVal>
          <c:yVal>
            <c:numRef>
              <c:f>pump!$AA$5:$AB$5</c:f>
              <c:numCache>
                <c:formatCode>0</c:formatCode>
                <c:ptCount val="2"/>
                <c:pt idx="0">
                  <c:v>0</c:v>
                </c:pt>
                <c:pt idx="1">
                  <c:v>1019.3679918450559</c:v>
                </c:pt>
              </c:numCache>
            </c:numRef>
          </c:yVal>
          <c:smooth val="1"/>
        </c:ser>
        <c:ser>
          <c:idx val="63"/>
          <c:order val="63"/>
          <c:tx>
            <c:v>150 degree line</c:v>
          </c:tx>
          <c:xVal>
            <c:numRef>
              <c:f>pump!$Y$6:$Z$6</c:f>
              <c:numCache>
                <c:formatCode>0</c:formatCode>
                <c:ptCount val="2"/>
                <c:pt idx="0" formatCode="General">
                  <c:v>0</c:v>
                </c:pt>
                <c:pt idx="1">
                  <c:v>-1019.3679918450557</c:v>
                </c:pt>
              </c:numCache>
            </c:numRef>
          </c:xVal>
          <c:yVal>
            <c:numRef>
              <c:f>pump!$AA$6:$AB$6</c:f>
              <c:numCache>
                <c:formatCode>0</c:formatCode>
                <c:ptCount val="2"/>
                <c:pt idx="0">
                  <c:v>0</c:v>
                </c:pt>
                <c:pt idx="1">
                  <c:v>1019.3679918450559</c:v>
                </c:pt>
              </c:numCache>
            </c:numRef>
          </c:yVal>
          <c:smooth val="1"/>
        </c:ser>
        <c:ser>
          <c:idx val="64"/>
          <c:order val="64"/>
          <c:xVal>
            <c:numRef>
              <c:f>pump!$W$11:$W$23</c:f>
              <c:numCache>
                <c:formatCode>0</c:formatCode>
                <c:ptCount val="13"/>
                <c:pt idx="0">
                  <c:v>1019</c:v>
                </c:pt>
                <c:pt idx="1">
                  <c:v>984.27841698856059</c:v>
                </c:pt>
                <c:pt idx="2">
                  <c:v>882.47988645634302</c:v>
                </c:pt>
                <c:pt idx="3">
                  <c:v>720.54181002909195</c:v>
                </c:pt>
                <c:pt idx="4">
                  <c:v>509.50000000000011</c:v>
                </c:pt>
                <c:pt idx="5">
                  <c:v>263.73660695946865</c:v>
                </c:pt>
                <c:pt idx="6">
                  <c:v>6.242131377759419E-14</c:v>
                </c:pt>
                <c:pt idx="7">
                  <c:v>-263.73660695946876</c:v>
                </c:pt>
                <c:pt idx="8">
                  <c:v>-509.49999999999977</c:v>
                </c:pt>
                <c:pt idx="9">
                  <c:v>-720.54181002909183</c:v>
                </c:pt>
                <c:pt idx="10">
                  <c:v>-882.47988645634302</c:v>
                </c:pt>
                <c:pt idx="11">
                  <c:v>-984.27841698856048</c:v>
                </c:pt>
                <c:pt idx="12">
                  <c:v>-1019</c:v>
                </c:pt>
              </c:numCache>
            </c:numRef>
          </c:xVal>
          <c:yVal>
            <c:numRef>
              <c:f>pump!$X$11:$X$23</c:f>
              <c:numCache>
                <c:formatCode>0</c:formatCode>
                <c:ptCount val="13"/>
                <c:pt idx="0">
                  <c:v>0</c:v>
                </c:pt>
                <c:pt idx="1">
                  <c:v>263.73660695946865</c:v>
                </c:pt>
                <c:pt idx="2">
                  <c:v>509.49999999999994</c:v>
                </c:pt>
                <c:pt idx="3">
                  <c:v>720.54181002909183</c:v>
                </c:pt>
                <c:pt idx="4">
                  <c:v>882.47988645634291</c:v>
                </c:pt>
                <c:pt idx="5">
                  <c:v>984.27841698856059</c:v>
                </c:pt>
                <c:pt idx="6">
                  <c:v>1019</c:v>
                </c:pt>
                <c:pt idx="7">
                  <c:v>984.27841698856059</c:v>
                </c:pt>
                <c:pt idx="8">
                  <c:v>882.47988645634302</c:v>
                </c:pt>
                <c:pt idx="9">
                  <c:v>720.54181002909195</c:v>
                </c:pt>
                <c:pt idx="10">
                  <c:v>509.49999999999994</c:v>
                </c:pt>
                <c:pt idx="11">
                  <c:v>263.73660695946893</c:v>
                </c:pt>
                <c:pt idx="12">
                  <c:v>1.2484262755518838E-13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33760"/>
        <c:axId val="78535296"/>
      </c:scatterChart>
      <c:valAx>
        <c:axId val="78533760"/>
        <c:scaling>
          <c:orientation val="minMax"/>
          <c:max val="1019.3679918450559"/>
          <c:min val="-1019.3679918450559"/>
        </c:scaling>
        <c:delete val="0"/>
        <c:axPos val="b"/>
        <c:numFmt formatCode="0" sourceLinked="0"/>
        <c:majorTickMark val="out"/>
        <c:minorTickMark val="none"/>
        <c:tickLblPos val="nextTo"/>
        <c:crossAx val="78535296"/>
        <c:crosses val="autoZero"/>
        <c:crossBetween val="midCat"/>
        <c:majorUnit val="203.87359836901118"/>
      </c:valAx>
      <c:valAx>
        <c:axId val="78535296"/>
        <c:scaling>
          <c:orientation val="minMax"/>
          <c:max val="1019.3679918450559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crossAx val="78533760"/>
        <c:crosses val="autoZero"/>
        <c:crossBetween val="midCat"/>
        <c:majorUnit val="101.93679918450559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20</xdr:row>
      <xdr:rowOff>114300</xdr:rowOff>
    </xdr:from>
    <xdr:to>
      <xdr:col>7</xdr:col>
      <xdr:colOff>390525</xdr:colOff>
      <xdr:row>22</xdr:row>
      <xdr:rowOff>142875</xdr:rowOff>
    </xdr:to>
    <xdr:sp macro="[0]!pump" textlink="">
      <xdr:nvSpPr>
        <xdr:cNvPr id="5" name="Rounded Rectangle 4"/>
        <xdr:cNvSpPr/>
      </xdr:nvSpPr>
      <xdr:spPr>
        <a:xfrm>
          <a:off x="4562475" y="3924300"/>
          <a:ext cx="16002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Macro</a:t>
          </a:r>
        </a:p>
      </xdr:txBody>
    </xdr:sp>
    <xdr:clientData/>
  </xdr:twoCellAnchor>
  <xdr:twoCellAnchor>
    <xdr:from>
      <xdr:col>5</xdr:col>
      <xdr:colOff>4762</xdr:colOff>
      <xdr:row>0</xdr:row>
      <xdr:rowOff>28575</xdr:rowOff>
    </xdr:from>
    <xdr:to>
      <xdr:col>16</xdr:col>
      <xdr:colOff>499162</xdr:colOff>
      <xdr:row>19</xdr:row>
      <xdr:rowOff>9075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62"/>
  <sheetViews>
    <sheetView workbookViewId="0">
      <selection activeCell="C1" sqref="C1:C1048576"/>
    </sheetView>
  </sheetViews>
  <sheetFormatPr defaultRowHeight="15" x14ac:dyDescent="0.25"/>
  <cols>
    <col min="1" max="1" width="10.28515625" customWidth="1"/>
    <col min="2" max="2" width="9.140625" customWidth="1"/>
    <col min="3" max="3" width="9.140625" style="22" customWidth="1"/>
    <col min="4" max="4" width="9.140625" style="1" customWidth="1"/>
    <col min="5" max="5" width="9.140625" style="10" customWidth="1"/>
    <col min="6" max="7" width="13.140625" style="1" customWidth="1"/>
    <col min="8" max="8" width="11.42578125" style="2" customWidth="1"/>
    <col min="9" max="9" width="9.85546875" style="1" customWidth="1"/>
    <col min="10" max="10" width="9.140625" style="2" customWidth="1"/>
    <col min="11" max="11" width="9.140625" style="1" customWidth="1"/>
    <col min="12" max="12" width="13.28515625" style="1" bestFit="1" customWidth="1"/>
    <col min="13" max="14" width="9.140625" style="1" customWidth="1"/>
    <col min="15" max="15" width="9.140625" style="2" customWidth="1"/>
    <col min="16" max="16" width="10" customWidth="1"/>
    <col min="17" max="17" width="11.7109375" style="2" customWidth="1"/>
    <col min="18" max="18" width="11.7109375" style="1" customWidth="1"/>
    <col min="20" max="20" width="13.85546875" customWidth="1"/>
    <col min="21" max="21" width="14.5703125" bestFit="1" customWidth="1"/>
    <col min="22" max="22" width="10.28515625" bestFit="1" customWidth="1"/>
    <col min="23" max="23" width="11.140625" bestFit="1" customWidth="1"/>
  </cols>
  <sheetData>
    <row r="1" spans="1:27" x14ac:dyDescent="0.25">
      <c r="A1" s="3" t="s">
        <v>2</v>
      </c>
      <c r="B1" s="4" t="s">
        <v>0</v>
      </c>
      <c r="C1" s="17" t="s">
        <v>11</v>
      </c>
      <c r="D1" s="6" t="s">
        <v>13</v>
      </c>
      <c r="E1" s="9" t="s">
        <v>14</v>
      </c>
      <c r="F1" s="6" t="s">
        <v>7</v>
      </c>
      <c r="G1" s="6" t="s">
        <v>19</v>
      </c>
      <c r="H1" s="5" t="s">
        <v>6</v>
      </c>
      <c r="I1" s="6" t="s">
        <v>5</v>
      </c>
      <c r="J1" s="5" t="s">
        <v>1</v>
      </c>
      <c r="K1" s="6" t="s">
        <v>20</v>
      </c>
      <c r="L1" s="6" t="s">
        <v>29</v>
      </c>
      <c r="M1" s="6" t="s">
        <v>21</v>
      </c>
      <c r="N1" s="6" t="s">
        <v>3</v>
      </c>
      <c r="O1" s="5" t="s">
        <v>8</v>
      </c>
      <c r="P1" s="4" t="s">
        <v>9</v>
      </c>
      <c r="Q1" s="5" t="s">
        <v>16</v>
      </c>
      <c r="R1" s="11" t="s">
        <v>15</v>
      </c>
      <c r="T1" s="7" t="s">
        <v>18</v>
      </c>
      <c r="U1" s="7" t="s">
        <v>6</v>
      </c>
      <c r="V1" s="7" t="s">
        <v>10</v>
      </c>
      <c r="W1" s="4" t="s">
        <v>17</v>
      </c>
      <c r="AA1" s="4" t="s">
        <v>20</v>
      </c>
    </row>
    <row r="2" spans="1:27" x14ac:dyDescent="0.25">
      <c r="A2" s="4">
        <v>1</v>
      </c>
      <c r="B2" s="4">
        <f t="shared" ref="B2:B8" si="0">Initial_Velocity</f>
        <v>100</v>
      </c>
      <c r="C2" s="17">
        <v>45</v>
      </c>
      <c r="D2" s="6">
        <f>B2*COS(RADIANS(C2))</f>
        <v>70.710678118654755</v>
      </c>
      <c r="E2" s="9">
        <f>B2*SIN(RADIANS(C2))</f>
        <v>70.710678118654741</v>
      </c>
      <c r="F2" s="6">
        <f t="shared" ref="F2" si="1">E2/9.81</f>
        <v>7.2080201955815228</v>
      </c>
      <c r="G2" s="6">
        <f>D2*F2*2</f>
        <v>1019.3679918450559</v>
      </c>
      <c r="H2" s="5">
        <f>(E2*E2/(2*9.81))</f>
        <v>254.8419979612639</v>
      </c>
      <c r="I2" s="6">
        <f>IF(M2&gt;F2,0,E2)</f>
        <v>0</v>
      </c>
      <c r="J2" s="5">
        <f>IF(M2&gt;F2,9.81,-9.81)</f>
        <v>9.81</v>
      </c>
      <c r="K2" s="6">
        <f t="shared" ref="K2:K8" si="2">IF(Time_Lag="No_lag",0,MAX(F:F)*(A2-1)/MAX(A:A))</f>
        <v>0</v>
      </c>
      <c r="L2" s="6">
        <f>K2+F2</f>
        <v>7.2080201955815228</v>
      </c>
      <c r="M2" s="6">
        <f t="shared" ref="M2:M8" si="3">Clock-K2</f>
        <v>29.99854376001165</v>
      </c>
      <c r="N2" s="6">
        <f>IF(M2&gt;F2,M2-F2,M2)</f>
        <v>22.790523564430128</v>
      </c>
      <c r="O2" s="5">
        <f>N2*I2+J2*N2*N2/2</f>
        <v>2547.6960650918445</v>
      </c>
      <c r="P2" s="5">
        <f t="shared" ref="P2" si="4">H2-J2*N2*N2/2</f>
        <v>-2292.8540671305805</v>
      </c>
      <c r="Q2" s="5">
        <f>IF(M2&gt;2*F2,0,IF(M2&gt;F2,(P2),O2))</f>
        <v>0</v>
      </c>
      <c r="R2" s="12">
        <f>IF(M2&gt;2*F2,2*D2*F2,D2*M2)</f>
        <v>1019.3679918450559</v>
      </c>
      <c r="T2" s="5">
        <f>MAX(F:F)*2+MAX(K:K)*1.1</f>
        <v>29.99854376001165</v>
      </c>
      <c r="U2" s="5">
        <f>Initial_Velocity*Initial_Velocity/(2*9.81)</f>
        <v>509.68399592252803</v>
      </c>
      <c r="V2" s="4">
        <f>MAX(A:A)</f>
        <v>7</v>
      </c>
      <c r="W2" s="6">
        <f>MAX(G:G)</f>
        <v>1019.3679918450559</v>
      </c>
      <c r="AA2" s="4" t="s">
        <v>31</v>
      </c>
    </row>
    <row r="3" spans="1:27" x14ac:dyDescent="0.25">
      <c r="A3" s="17">
        <v>2</v>
      </c>
      <c r="B3" s="17">
        <f t="shared" si="0"/>
        <v>100</v>
      </c>
      <c r="C3" s="17">
        <v>60</v>
      </c>
      <c r="D3" s="18">
        <f t="shared" ref="D3" si="5">B3*COS(RADIANS(C3))</f>
        <v>50.000000000000014</v>
      </c>
      <c r="E3" s="19">
        <f t="shared" ref="E3" si="6">B3*SIN(RADIANS(C3))</f>
        <v>86.602540378443862</v>
      </c>
      <c r="F3" s="18">
        <f t="shared" ref="F3" si="7">E3/9.81</f>
        <v>8.8279857674254689</v>
      </c>
      <c r="G3" s="18">
        <f t="shared" ref="G3:G6" si="8">D3*F3*2</f>
        <v>882.7985767425472</v>
      </c>
      <c r="H3" s="20">
        <f t="shared" ref="H3" si="9">(E3*E3/(2*9.81))</f>
        <v>382.26299694189601</v>
      </c>
      <c r="I3" s="18">
        <f t="shared" ref="I3:I6" si="10">IF(M3&gt;F3,0,E3)</f>
        <v>0</v>
      </c>
      <c r="J3" s="20">
        <f t="shared" ref="J3:J6" si="11">IF(M3&gt;F3,9.81,-9.81)</f>
        <v>9.81</v>
      </c>
      <c r="K3" s="18">
        <f t="shared" si="2"/>
        <v>1.4562399883500798</v>
      </c>
      <c r="L3" s="18">
        <f t="shared" ref="L3:L8" si="12">K3+F3</f>
        <v>10.284225755775548</v>
      </c>
      <c r="M3" s="18">
        <f t="shared" si="3"/>
        <v>28.542303771661569</v>
      </c>
      <c r="N3" s="18">
        <f t="shared" ref="N3:N6" si="13">IF(M3&gt;F3,M3-F3,M3)</f>
        <v>19.714318004236098</v>
      </c>
      <c r="O3" s="20">
        <f t="shared" ref="O3" si="14">N3*I3+J3*N3*N3/2</f>
        <v>1906.3495100953839</v>
      </c>
      <c r="P3" s="20">
        <f t="shared" ref="P3" si="15">H3-J3*N3*N3/2</f>
        <v>-1524.0865131534879</v>
      </c>
      <c r="Q3" s="20">
        <f t="shared" ref="Q3:Q6" si="16">IF(M3&gt;2*F3,0,IF(M3&gt;F3,(P3),O3))</f>
        <v>0</v>
      </c>
      <c r="R3" s="21">
        <f t="shared" ref="R3:R6" si="17">IF(M3&gt;2*F3,2*D3*F3,D3*M3)</f>
        <v>882.7985767425472</v>
      </c>
    </row>
    <row r="4" spans="1:27" x14ac:dyDescent="0.25">
      <c r="A4" s="17">
        <v>3</v>
      </c>
      <c r="B4" s="17">
        <f t="shared" si="0"/>
        <v>100</v>
      </c>
      <c r="C4" s="17">
        <v>75</v>
      </c>
      <c r="D4" s="18">
        <f t="shared" ref="D4" si="18">B4*COS(RADIANS(C4))</f>
        <v>25.881904510252074</v>
      </c>
      <c r="E4" s="19">
        <f t="shared" ref="E4" si="19">B4*SIN(RADIANS(C4))</f>
        <v>96.592582628906825</v>
      </c>
      <c r="F4" s="18">
        <f t="shared" ref="F4" si="20">E4/9.81</f>
        <v>9.8463386981556393</v>
      </c>
      <c r="G4" s="18">
        <f t="shared" si="8"/>
        <v>509.68399592252797</v>
      </c>
      <c r="H4" s="20">
        <f t="shared" ref="H4" si="21">(E4*E4/(2*9.81))</f>
        <v>475.5416421469007</v>
      </c>
      <c r="I4" s="18">
        <f t="shared" si="10"/>
        <v>0</v>
      </c>
      <c r="J4" s="20">
        <f t="shared" si="11"/>
        <v>9.81</v>
      </c>
      <c r="K4" s="18">
        <f t="shared" si="2"/>
        <v>2.9124799767001597</v>
      </c>
      <c r="L4" s="18">
        <f t="shared" si="12"/>
        <v>12.758818674855799</v>
      </c>
      <c r="M4" s="18">
        <f t="shared" si="3"/>
        <v>27.086063783311491</v>
      </c>
      <c r="N4" s="18">
        <f t="shared" si="13"/>
        <v>17.239725085155854</v>
      </c>
      <c r="O4" s="20">
        <f t="shared" ref="O4" si="22">N4*I4+J4*N4*N4/2</f>
        <v>1457.8058335626436</v>
      </c>
      <c r="P4" s="20">
        <f t="shared" ref="P4" si="23">H4-J4*N4*N4/2</f>
        <v>-982.26419141574286</v>
      </c>
      <c r="Q4" s="20">
        <f t="shared" si="16"/>
        <v>0</v>
      </c>
      <c r="R4" s="21">
        <f t="shared" si="17"/>
        <v>509.68399592252797</v>
      </c>
    </row>
    <row r="5" spans="1:27" x14ac:dyDescent="0.25">
      <c r="A5" s="17">
        <v>4</v>
      </c>
      <c r="B5" s="17">
        <f t="shared" si="0"/>
        <v>100</v>
      </c>
      <c r="C5" s="17">
        <v>90</v>
      </c>
      <c r="D5" s="18">
        <f t="shared" ref="D5:D6" si="24">B5*COS(RADIANS(C5))</f>
        <v>6.1257422745431001E-15</v>
      </c>
      <c r="E5" s="19">
        <f t="shared" ref="E5:E6" si="25">B5*SIN(RADIANS(C5))</f>
        <v>100</v>
      </c>
      <c r="F5" s="18">
        <f t="shared" ref="F5:F6" si="26">E5/9.81</f>
        <v>10.19367991845056</v>
      </c>
      <c r="G5" s="18">
        <f t="shared" si="8"/>
        <v>1.248877120192273E-13</v>
      </c>
      <c r="H5" s="20">
        <f t="shared" ref="H5:H6" si="27">(E5*E5/(2*9.81))</f>
        <v>509.68399592252803</v>
      </c>
      <c r="I5" s="18">
        <f t="shared" si="10"/>
        <v>0</v>
      </c>
      <c r="J5" s="20">
        <f t="shared" si="11"/>
        <v>9.81</v>
      </c>
      <c r="K5" s="18">
        <f t="shared" si="2"/>
        <v>4.3687199650502402</v>
      </c>
      <c r="L5" s="18">
        <f t="shared" si="12"/>
        <v>14.562399883500799</v>
      </c>
      <c r="M5" s="18">
        <f t="shared" si="3"/>
        <v>25.62982379496141</v>
      </c>
      <c r="N5" s="18">
        <f t="shared" si="13"/>
        <v>15.436143876510851</v>
      </c>
      <c r="O5" s="20">
        <f t="shared" ref="O5:O6" si="28">N5*I5+J5*N5*N5/2</f>
        <v>1168.7366077929646</v>
      </c>
      <c r="P5" s="20">
        <f t="shared" ref="P5:P6" si="29">H5-J5*N5*N5/2</f>
        <v>-659.05261187043652</v>
      </c>
      <c r="Q5" s="20">
        <f t="shared" si="16"/>
        <v>0</v>
      </c>
      <c r="R5" s="21">
        <f t="shared" si="17"/>
        <v>1.248877120192273E-13</v>
      </c>
    </row>
    <row r="6" spans="1:27" x14ac:dyDescent="0.25">
      <c r="A6" s="17">
        <v>5</v>
      </c>
      <c r="B6" s="17">
        <f t="shared" si="0"/>
        <v>100</v>
      </c>
      <c r="C6" s="17">
        <v>105</v>
      </c>
      <c r="D6" s="18">
        <f t="shared" si="24"/>
        <v>-25.881904510252085</v>
      </c>
      <c r="E6" s="19">
        <f t="shared" si="25"/>
        <v>96.592582628906825</v>
      </c>
      <c r="F6" s="18">
        <f t="shared" si="26"/>
        <v>9.8463386981556393</v>
      </c>
      <c r="G6" s="18">
        <f t="shared" si="8"/>
        <v>-509.68399592252814</v>
      </c>
      <c r="H6" s="20">
        <f t="shared" si="27"/>
        <v>475.5416421469007</v>
      </c>
      <c r="I6" s="18">
        <f t="shared" si="10"/>
        <v>0</v>
      </c>
      <c r="J6" s="20">
        <f t="shared" si="11"/>
        <v>9.81</v>
      </c>
      <c r="K6" s="18">
        <f t="shared" si="2"/>
        <v>5.8249599534003194</v>
      </c>
      <c r="L6" s="18">
        <f t="shared" si="12"/>
        <v>15.671298651555958</v>
      </c>
      <c r="M6" s="18">
        <f t="shared" si="3"/>
        <v>24.17358380661133</v>
      </c>
      <c r="N6" s="18">
        <f t="shared" si="13"/>
        <v>14.32724510845569</v>
      </c>
      <c r="O6" s="20">
        <f t="shared" si="28"/>
        <v>1006.8491165110497</v>
      </c>
      <c r="P6" s="20">
        <f t="shared" si="29"/>
        <v>-531.30747436414902</v>
      </c>
      <c r="Q6" s="20">
        <f t="shared" si="16"/>
        <v>0</v>
      </c>
      <c r="R6" s="21">
        <f t="shared" si="17"/>
        <v>-509.68399592252814</v>
      </c>
    </row>
    <row r="7" spans="1:27" x14ac:dyDescent="0.25">
      <c r="A7" s="17">
        <v>6</v>
      </c>
      <c r="B7" s="17">
        <f t="shared" si="0"/>
        <v>100</v>
      </c>
      <c r="C7" s="17">
        <v>120</v>
      </c>
      <c r="D7" s="18">
        <f t="shared" ref="D7:D8" si="30">B7*COS(RADIANS(C7))</f>
        <v>-49.999999999999979</v>
      </c>
      <c r="E7" s="19">
        <f t="shared" ref="E7:E8" si="31">B7*SIN(RADIANS(C7))</f>
        <v>86.602540378443877</v>
      </c>
      <c r="F7" s="18">
        <f t="shared" ref="F7:F8" si="32">E7/9.81</f>
        <v>8.8279857674254707</v>
      </c>
      <c r="G7" s="18">
        <f t="shared" ref="G7:G8" si="33">D7*F7*2</f>
        <v>-882.79857674254674</v>
      </c>
      <c r="H7" s="20">
        <f t="shared" ref="H7:H8" si="34">(E7*E7/(2*9.81))</f>
        <v>382.26299694189612</v>
      </c>
      <c r="I7" s="18">
        <f t="shared" ref="I7:I8" si="35">IF(M7&gt;F7,0,E7)</f>
        <v>0</v>
      </c>
      <c r="J7" s="20">
        <f t="shared" ref="J7:J8" si="36">IF(M7&gt;F7,9.81,-9.81)</f>
        <v>9.81</v>
      </c>
      <c r="K7" s="18">
        <f t="shared" si="2"/>
        <v>7.2811999417503994</v>
      </c>
      <c r="L7" s="18">
        <f t="shared" si="12"/>
        <v>16.109185709175868</v>
      </c>
      <c r="M7" s="18">
        <f t="shared" si="3"/>
        <v>22.717343818261249</v>
      </c>
      <c r="N7" s="18">
        <f t="shared" ref="N7:N8" si="37">IF(M7&gt;F7,M7-F7,M7)</f>
        <v>13.889358050835778</v>
      </c>
      <c r="O7" s="20">
        <f t="shared" ref="O7:O8" si="38">N7*I7+J7*N7*N7/2</f>
        <v>946.24447995047319</v>
      </c>
      <c r="P7" s="20">
        <f t="shared" ref="P7:P8" si="39">H7-J7*N7*N7/2</f>
        <v>-563.98148300857702</v>
      </c>
      <c r="Q7" s="20">
        <f t="shared" ref="Q7:Q8" si="40">IF(M7&gt;2*F7,0,IF(M7&gt;F7,(P7),O7))</f>
        <v>0</v>
      </c>
      <c r="R7" s="21">
        <f t="shared" ref="R7:R8" si="41">IF(M7&gt;2*F7,2*D7*F7,D7*M7)</f>
        <v>-882.79857674254674</v>
      </c>
    </row>
    <row r="8" spans="1:27" x14ac:dyDescent="0.25">
      <c r="A8" s="17">
        <v>7</v>
      </c>
      <c r="B8" s="17">
        <f t="shared" si="0"/>
        <v>100</v>
      </c>
      <c r="C8" s="17">
        <v>135</v>
      </c>
      <c r="D8" s="18">
        <f t="shared" si="30"/>
        <v>-70.710678118654741</v>
      </c>
      <c r="E8" s="19">
        <f t="shared" si="31"/>
        <v>70.710678118654755</v>
      </c>
      <c r="F8" s="18">
        <f t="shared" si="32"/>
        <v>7.2080201955815237</v>
      </c>
      <c r="G8" s="18">
        <f t="shared" si="33"/>
        <v>-1019.3679918450558</v>
      </c>
      <c r="H8" s="20">
        <f t="shared" si="34"/>
        <v>254.84199796126401</v>
      </c>
      <c r="I8" s="18">
        <f t="shared" si="35"/>
        <v>0</v>
      </c>
      <c r="J8" s="20">
        <f t="shared" si="36"/>
        <v>9.81</v>
      </c>
      <c r="K8" s="18">
        <f t="shared" si="2"/>
        <v>8.7374399301004804</v>
      </c>
      <c r="L8" s="18">
        <f t="shared" si="12"/>
        <v>15.945460125682004</v>
      </c>
      <c r="M8" s="18">
        <f t="shared" si="3"/>
        <v>21.261103829911171</v>
      </c>
      <c r="N8" s="18">
        <f t="shared" si="37"/>
        <v>14.053083634329647</v>
      </c>
      <c r="O8" s="20">
        <f t="shared" si="38"/>
        <v>968.68432800213986</v>
      </c>
      <c r="P8" s="20">
        <f t="shared" si="39"/>
        <v>-713.84233004087582</v>
      </c>
      <c r="Q8" s="20">
        <f t="shared" si="40"/>
        <v>0</v>
      </c>
      <c r="R8" s="21">
        <f t="shared" si="41"/>
        <v>-1019.3679918450558</v>
      </c>
    </row>
    <row r="9" spans="1:27" x14ac:dyDescent="0.25">
      <c r="A9" s="17"/>
      <c r="B9" s="17"/>
      <c r="C9" s="17"/>
      <c r="D9" s="18"/>
      <c r="E9" s="19"/>
      <c r="F9" s="18"/>
      <c r="G9" s="18"/>
      <c r="H9" s="20"/>
      <c r="I9" s="18"/>
      <c r="J9" s="20"/>
      <c r="K9" s="18"/>
      <c r="L9" s="18"/>
      <c r="M9" s="18"/>
      <c r="N9" s="18"/>
      <c r="O9" s="20"/>
      <c r="P9" s="20"/>
      <c r="Q9" s="20"/>
      <c r="R9" s="21"/>
      <c r="S9" s="1"/>
    </row>
    <row r="10" spans="1:27" x14ac:dyDescent="0.25">
      <c r="A10" s="17"/>
      <c r="B10" s="17"/>
      <c r="C10" s="17"/>
      <c r="D10" s="18"/>
      <c r="E10" s="19"/>
      <c r="F10" s="18"/>
      <c r="G10" s="18"/>
      <c r="H10" s="20"/>
      <c r="I10" s="18"/>
      <c r="J10" s="20"/>
      <c r="K10" s="18"/>
      <c r="L10" s="18"/>
      <c r="M10" s="18"/>
      <c r="N10" s="18"/>
      <c r="O10" s="20"/>
      <c r="P10" s="20"/>
      <c r="Q10" s="20"/>
      <c r="R10" s="21"/>
    </row>
    <row r="11" spans="1:27" x14ac:dyDescent="0.25">
      <c r="A11" s="17"/>
      <c r="B11" s="17"/>
      <c r="C11" s="17"/>
      <c r="D11" s="18"/>
      <c r="E11" s="19"/>
      <c r="F11" s="18"/>
      <c r="G11" s="18"/>
      <c r="H11" s="20"/>
      <c r="I11" s="18"/>
      <c r="J11" s="20"/>
      <c r="K11" s="18"/>
      <c r="L11" s="18"/>
      <c r="M11" s="18"/>
      <c r="N11" s="18"/>
      <c r="O11" s="20"/>
      <c r="P11" s="20"/>
      <c r="Q11" s="20"/>
      <c r="R11" s="21"/>
    </row>
    <row r="12" spans="1:27" x14ac:dyDescent="0.25">
      <c r="A12" s="17"/>
      <c r="B12" s="17"/>
      <c r="C12" s="17"/>
      <c r="D12" s="18"/>
      <c r="E12" s="19"/>
      <c r="F12" s="18"/>
      <c r="G12" s="18"/>
      <c r="H12" s="20"/>
      <c r="I12" s="18"/>
      <c r="J12" s="20"/>
      <c r="K12" s="18"/>
      <c r="L12" s="18"/>
      <c r="M12" s="18"/>
      <c r="N12" s="18"/>
      <c r="O12" s="20"/>
      <c r="P12" s="20"/>
      <c r="Q12" s="20"/>
      <c r="R12" s="21"/>
    </row>
    <row r="13" spans="1:27" x14ac:dyDescent="0.25">
      <c r="A13" s="17"/>
      <c r="B13" s="17"/>
      <c r="C13" s="17"/>
      <c r="D13" s="18"/>
      <c r="E13" s="19"/>
      <c r="F13" s="18"/>
      <c r="G13" s="18"/>
      <c r="H13" s="20"/>
      <c r="I13" s="18"/>
      <c r="J13" s="20"/>
      <c r="K13" s="18"/>
      <c r="L13" s="18"/>
      <c r="M13" s="18"/>
      <c r="N13" s="18"/>
      <c r="O13" s="20"/>
      <c r="P13" s="20"/>
      <c r="Q13" s="20"/>
      <c r="R13" s="21"/>
    </row>
    <row r="14" spans="1:27" x14ac:dyDescent="0.25">
      <c r="A14" s="17"/>
      <c r="B14" s="17"/>
      <c r="C14" s="17"/>
      <c r="D14" s="18"/>
      <c r="E14" s="19"/>
      <c r="F14" s="18"/>
      <c r="G14" s="18"/>
      <c r="H14" s="20"/>
      <c r="I14" s="18"/>
      <c r="J14" s="20"/>
      <c r="K14" s="18"/>
      <c r="L14" s="18"/>
      <c r="M14" s="18"/>
      <c r="N14" s="18"/>
      <c r="O14" s="20"/>
      <c r="P14" s="20"/>
      <c r="Q14" s="20"/>
      <c r="R14" s="21"/>
    </row>
    <row r="15" spans="1:27" x14ac:dyDescent="0.25">
      <c r="A15" s="17"/>
      <c r="B15" s="17"/>
      <c r="C15" s="17"/>
      <c r="D15" s="18"/>
      <c r="E15" s="19"/>
      <c r="F15" s="18"/>
      <c r="G15" s="18"/>
      <c r="H15" s="20"/>
      <c r="I15" s="18"/>
      <c r="J15" s="20"/>
      <c r="K15" s="18"/>
      <c r="L15" s="18"/>
      <c r="M15" s="18"/>
      <c r="N15" s="18"/>
      <c r="O15" s="20"/>
      <c r="P15" s="20"/>
      <c r="Q15" s="20"/>
      <c r="R15" s="21"/>
    </row>
    <row r="16" spans="1:27" x14ac:dyDescent="0.25">
      <c r="A16" s="17"/>
      <c r="B16" s="17"/>
      <c r="C16" s="17"/>
      <c r="D16" s="18"/>
      <c r="E16" s="19"/>
      <c r="F16" s="18"/>
      <c r="G16" s="18"/>
      <c r="H16" s="20"/>
      <c r="I16" s="18"/>
      <c r="J16" s="20"/>
      <c r="K16" s="18"/>
      <c r="L16" s="18"/>
      <c r="M16" s="18"/>
      <c r="N16" s="18"/>
      <c r="O16" s="20"/>
      <c r="P16" s="20"/>
      <c r="Q16" s="20"/>
      <c r="R16" s="21"/>
    </row>
    <row r="17" spans="1:18" x14ac:dyDescent="0.25">
      <c r="A17" s="17"/>
      <c r="B17" s="17"/>
      <c r="C17" s="17"/>
      <c r="D17" s="18"/>
      <c r="E17" s="19"/>
      <c r="F17" s="18"/>
      <c r="G17" s="18"/>
      <c r="H17" s="20"/>
      <c r="I17" s="18"/>
      <c r="J17" s="20"/>
      <c r="K17" s="18"/>
      <c r="L17" s="18"/>
      <c r="M17" s="18"/>
      <c r="N17" s="18"/>
      <c r="O17" s="20"/>
      <c r="P17" s="20"/>
      <c r="Q17" s="20"/>
      <c r="R17" s="21"/>
    </row>
    <row r="18" spans="1:18" x14ac:dyDescent="0.25">
      <c r="A18" s="17"/>
      <c r="B18" s="17"/>
      <c r="C18" s="17"/>
      <c r="D18" s="18"/>
      <c r="E18" s="19"/>
      <c r="F18" s="18"/>
      <c r="G18" s="18"/>
      <c r="H18" s="20"/>
      <c r="I18" s="18"/>
      <c r="J18" s="20"/>
      <c r="K18" s="18"/>
      <c r="L18" s="18"/>
      <c r="M18" s="18"/>
      <c r="N18" s="18"/>
      <c r="O18" s="20"/>
      <c r="P18" s="20"/>
      <c r="Q18" s="20"/>
      <c r="R18" s="21"/>
    </row>
    <row r="19" spans="1:18" x14ac:dyDescent="0.25">
      <c r="A19" s="17"/>
      <c r="B19" s="17"/>
      <c r="C19" s="17"/>
      <c r="D19" s="18"/>
      <c r="E19" s="19"/>
      <c r="F19" s="18"/>
      <c r="G19" s="18"/>
      <c r="H19" s="20"/>
      <c r="I19" s="18"/>
      <c r="J19" s="20"/>
      <c r="K19" s="18"/>
      <c r="L19" s="18"/>
      <c r="M19" s="18"/>
      <c r="N19" s="18"/>
      <c r="O19" s="20"/>
      <c r="P19" s="20"/>
      <c r="Q19" s="20"/>
      <c r="R19" s="21"/>
    </row>
    <row r="20" spans="1:18" x14ac:dyDescent="0.25">
      <c r="A20" s="17"/>
      <c r="B20" s="17"/>
      <c r="C20" s="17"/>
      <c r="D20" s="18"/>
      <c r="E20" s="19"/>
      <c r="F20" s="18"/>
      <c r="G20" s="18"/>
      <c r="H20" s="20"/>
      <c r="I20" s="18"/>
      <c r="J20" s="20"/>
      <c r="K20" s="18"/>
      <c r="L20" s="18"/>
      <c r="M20" s="18"/>
      <c r="N20" s="18"/>
      <c r="O20" s="20"/>
      <c r="P20" s="20"/>
      <c r="Q20" s="20"/>
      <c r="R20" s="21"/>
    </row>
    <row r="21" spans="1:18" x14ac:dyDescent="0.25">
      <c r="A21" s="17"/>
      <c r="B21" s="17"/>
      <c r="C21" s="17"/>
      <c r="D21" s="18"/>
      <c r="E21" s="19"/>
      <c r="F21" s="18"/>
      <c r="G21" s="18"/>
      <c r="H21" s="20"/>
      <c r="I21" s="18"/>
      <c r="J21" s="20"/>
      <c r="K21" s="18"/>
      <c r="L21" s="18"/>
      <c r="M21" s="18"/>
      <c r="N21" s="18"/>
      <c r="O21" s="20"/>
      <c r="P21" s="20"/>
      <c r="Q21" s="20"/>
      <c r="R21" s="21"/>
    </row>
    <row r="22" spans="1:18" x14ac:dyDescent="0.25">
      <c r="A22" s="17"/>
      <c r="B22" s="17"/>
      <c r="C22" s="17"/>
      <c r="D22" s="18"/>
      <c r="E22" s="19"/>
      <c r="F22" s="18"/>
      <c r="G22" s="18"/>
      <c r="H22" s="20"/>
      <c r="I22" s="18"/>
      <c r="J22" s="20"/>
      <c r="K22" s="18"/>
      <c r="L22" s="18"/>
      <c r="M22" s="18"/>
      <c r="N22" s="18"/>
      <c r="O22" s="20"/>
      <c r="P22" s="20"/>
      <c r="Q22" s="20"/>
      <c r="R22" s="21"/>
    </row>
    <row r="23" spans="1:18" x14ac:dyDescent="0.25">
      <c r="A23" s="17"/>
      <c r="B23" s="17"/>
      <c r="C23" s="17"/>
      <c r="D23" s="18"/>
      <c r="E23" s="19"/>
      <c r="F23" s="18"/>
      <c r="G23" s="18"/>
      <c r="H23" s="20"/>
      <c r="I23" s="18"/>
      <c r="J23" s="20"/>
      <c r="K23" s="18"/>
      <c r="L23" s="18"/>
      <c r="M23" s="18"/>
      <c r="N23" s="18"/>
      <c r="O23" s="20"/>
      <c r="P23" s="20"/>
      <c r="Q23" s="20"/>
      <c r="R23" s="21"/>
    </row>
    <row r="24" spans="1:18" x14ac:dyDescent="0.25">
      <c r="A24" s="17"/>
      <c r="B24" s="17"/>
      <c r="C24" s="17"/>
      <c r="D24" s="18"/>
      <c r="E24" s="19"/>
      <c r="F24" s="18"/>
      <c r="G24" s="18"/>
      <c r="H24" s="20"/>
      <c r="I24" s="18"/>
      <c r="J24" s="20"/>
      <c r="K24" s="18"/>
      <c r="L24" s="18"/>
      <c r="M24" s="18"/>
      <c r="N24" s="18"/>
      <c r="O24" s="20"/>
      <c r="P24" s="20"/>
      <c r="Q24" s="20"/>
      <c r="R24" s="21"/>
    </row>
    <row r="25" spans="1:18" x14ac:dyDescent="0.25">
      <c r="A25" s="17"/>
      <c r="B25" s="17"/>
      <c r="C25" s="17"/>
      <c r="D25" s="18"/>
      <c r="E25" s="19"/>
      <c r="F25" s="18"/>
      <c r="G25" s="18"/>
      <c r="H25" s="20"/>
      <c r="I25" s="18"/>
      <c r="J25" s="20"/>
      <c r="K25" s="18"/>
      <c r="L25" s="18"/>
      <c r="M25" s="18"/>
      <c r="N25" s="18"/>
      <c r="O25" s="20"/>
      <c r="P25" s="20"/>
      <c r="Q25" s="20"/>
      <c r="R25" s="21"/>
    </row>
    <row r="26" spans="1:18" x14ac:dyDescent="0.25">
      <c r="A26" s="17"/>
      <c r="B26" s="17"/>
      <c r="C26" s="17"/>
      <c r="D26" s="18"/>
      <c r="E26" s="19"/>
      <c r="F26" s="18"/>
      <c r="G26" s="18"/>
      <c r="H26" s="20"/>
      <c r="I26" s="18"/>
      <c r="J26" s="20"/>
      <c r="K26" s="18"/>
      <c r="L26" s="18"/>
      <c r="M26" s="18"/>
      <c r="N26" s="18"/>
      <c r="O26" s="20"/>
      <c r="P26" s="20"/>
      <c r="Q26" s="20"/>
      <c r="R26" s="21"/>
    </row>
    <row r="27" spans="1:18" x14ac:dyDescent="0.25">
      <c r="A27" s="17"/>
      <c r="B27" s="17"/>
      <c r="C27" s="17"/>
      <c r="D27" s="18"/>
      <c r="E27" s="19"/>
      <c r="F27" s="18"/>
      <c r="G27" s="18"/>
      <c r="H27" s="20"/>
      <c r="I27" s="18"/>
      <c r="J27" s="20"/>
      <c r="K27" s="18"/>
      <c r="L27" s="18"/>
      <c r="M27" s="18"/>
      <c r="N27" s="18"/>
      <c r="O27" s="20"/>
      <c r="P27" s="20"/>
      <c r="Q27" s="20"/>
      <c r="R27" s="21"/>
    </row>
    <row r="28" spans="1:18" x14ac:dyDescent="0.25">
      <c r="A28" s="17"/>
      <c r="B28" s="17"/>
      <c r="C28" s="17"/>
      <c r="D28" s="18"/>
      <c r="E28" s="19"/>
      <c r="F28" s="18"/>
      <c r="G28" s="18"/>
      <c r="H28" s="20"/>
      <c r="I28" s="18"/>
      <c r="J28" s="20"/>
      <c r="K28" s="18"/>
      <c r="L28" s="18"/>
      <c r="M28" s="18"/>
      <c r="N28" s="18"/>
      <c r="O28" s="20"/>
      <c r="P28" s="20"/>
      <c r="Q28" s="20"/>
      <c r="R28" s="21"/>
    </row>
    <row r="29" spans="1:18" x14ac:dyDescent="0.25">
      <c r="A29" s="17"/>
      <c r="B29" s="17"/>
      <c r="C29" s="17"/>
      <c r="D29" s="18"/>
      <c r="E29" s="19"/>
      <c r="F29" s="18"/>
      <c r="G29" s="18"/>
      <c r="H29" s="20"/>
      <c r="I29" s="18"/>
      <c r="J29" s="20"/>
      <c r="K29" s="18"/>
      <c r="L29" s="18"/>
      <c r="M29" s="18"/>
      <c r="N29" s="18"/>
      <c r="O29" s="20"/>
      <c r="P29" s="20"/>
      <c r="Q29" s="20"/>
      <c r="R29" s="21"/>
    </row>
    <row r="30" spans="1:18" x14ac:dyDescent="0.25">
      <c r="A30" s="17"/>
      <c r="B30" s="17"/>
      <c r="C30" s="17"/>
      <c r="D30" s="18"/>
      <c r="E30" s="19"/>
      <c r="F30" s="18"/>
      <c r="G30" s="18"/>
      <c r="H30" s="20"/>
      <c r="I30" s="18"/>
      <c r="J30" s="20"/>
      <c r="K30" s="18"/>
      <c r="L30" s="18"/>
      <c r="M30" s="18"/>
      <c r="N30" s="18"/>
      <c r="O30" s="20"/>
      <c r="P30" s="20"/>
      <c r="Q30" s="20"/>
      <c r="R30" s="21"/>
    </row>
    <row r="31" spans="1:18" x14ac:dyDescent="0.25">
      <c r="A31" s="17"/>
      <c r="B31" s="17"/>
      <c r="C31" s="17"/>
      <c r="D31" s="18"/>
      <c r="E31" s="19"/>
      <c r="F31" s="18"/>
      <c r="G31" s="18"/>
      <c r="H31" s="20"/>
      <c r="I31" s="18"/>
      <c r="J31" s="20"/>
      <c r="K31" s="18"/>
      <c r="L31" s="18"/>
      <c r="M31" s="18"/>
      <c r="N31" s="18"/>
      <c r="O31" s="20"/>
      <c r="P31" s="20"/>
      <c r="Q31" s="20"/>
      <c r="R31" s="21"/>
    </row>
    <row r="32" spans="1:18" x14ac:dyDescent="0.25">
      <c r="A32" s="17"/>
      <c r="B32" s="17"/>
      <c r="C32" s="17"/>
      <c r="D32" s="18"/>
      <c r="E32" s="19"/>
      <c r="F32" s="18"/>
      <c r="G32" s="18"/>
      <c r="H32" s="20"/>
      <c r="I32" s="18"/>
      <c r="J32" s="20"/>
      <c r="K32" s="18"/>
      <c r="L32" s="18"/>
      <c r="M32" s="18"/>
      <c r="N32" s="18"/>
      <c r="O32" s="20"/>
      <c r="P32" s="20"/>
      <c r="Q32" s="20"/>
      <c r="R32" s="21"/>
    </row>
    <row r="33" spans="1:18" x14ac:dyDescent="0.25">
      <c r="A33" s="17"/>
      <c r="B33" s="17"/>
      <c r="C33" s="17"/>
      <c r="D33" s="18"/>
      <c r="E33" s="19"/>
      <c r="F33" s="18"/>
      <c r="G33" s="18"/>
      <c r="H33" s="20"/>
      <c r="I33" s="18"/>
      <c r="J33" s="20"/>
      <c r="K33" s="18"/>
      <c r="L33" s="18"/>
      <c r="M33" s="18"/>
      <c r="N33" s="18"/>
      <c r="O33" s="20"/>
      <c r="P33" s="20"/>
      <c r="Q33" s="20"/>
      <c r="R33" s="21"/>
    </row>
    <row r="34" spans="1:18" x14ac:dyDescent="0.25">
      <c r="A34" s="17"/>
      <c r="B34" s="17"/>
      <c r="C34" s="17"/>
      <c r="D34" s="18"/>
      <c r="E34" s="19"/>
      <c r="F34" s="18"/>
      <c r="G34" s="18"/>
      <c r="H34" s="20"/>
      <c r="I34" s="18"/>
      <c r="J34" s="20"/>
      <c r="K34" s="18"/>
      <c r="L34" s="18"/>
      <c r="M34" s="18"/>
      <c r="N34" s="18"/>
      <c r="O34" s="20"/>
      <c r="P34" s="20"/>
      <c r="Q34" s="20"/>
      <c r="R34" s="21"/>
    </row>
    <row r="35" spans="1:18" x14ac:dyDescent="0.25">
      <c r="A35" s="17"/>
      <c r="B35" s="17"/>
      <c r="C35" s="17"/>
      <c r="D35" s="18"/>
      <c r="E35" s="19"/>
      <c r="F35" s="18"/>
      <c r="G35" s="18"/>
      <c r="H35" s="20"/>
      <c r="I35" s="18"/>
      <c r="J35" s="20"/>
      <c r="K35" s="18"/>
      <c r="L35" s="18"/>
      <c r="M35" s="18"/>
      <c r="N35" s="18"/>
      <c r="O35" s="20"/>
      <c r="P35" s="20"/>
      <c r="Q35" s="20"/>
      <c r="R35" s="21"/>
    </row>
    <row r="36" spans="1:18" x14ac:dyDescent="0.25">
      <c r="A36" s="17"/>
      <c r="B36" s="17"/>
      <c r="C36" s="17"/>
      <c r="D36" s="18"/>
      <c r="E36" s="19"/>
      <c r="F36" s="18"/>
      <c r="G36" s="18"/>
      <c r="H36" s="20"/>
      <c r="I36" s="18"/>
      <c r="J36" s="20"/>
      <c r="K36" s="18"/>
      <c r="L36" s="18"/>
      <c r="M36" s="18"/>
      <c r="N36" s="18"/>
      <c r="O36" s="20"/>
      <c r="P36" s="20"/>
      <c r="Q36" s="20"/>
      <c r="R36" s="21"/>
    </row>
    <row r="37" spans="1:18" x14ac:dyDescent="0.25">
      <c r="A37" s="17"/>
      <c r="B37" s="17"/>
      <c r="C37" s="17"/>
      <c r="D37" s="18"/>
      <c r="E37" s="19"/>
      <c r="F37" s="18"/>
      <c r="G37" s="18"/>
      <c r="H37" s="20"/>
      <c r="I37" s="18"/>
      <c r="J37" s="20"/>
      <c r="K37" s="18"/>
      <c r="L37" s="18"/>
      <c r="M37" s="18"/>
      <c r="N37" s="18"/>
      <c r="O37" s="20"/>
      <c r="P37" s="20"/>
      <c r="Q37" s="20"/>
      <c r="R37" s="21"/>
    </row>
    <row r="38" spans="1:18" x14ac:dyDescent="0.25">
      <c r="A38" s="17"/>
      <c r="B38" s="17"/>
      <c r="C38" s="17"/>
      <c r="D38" s="18"/>
      <c r="E38" s="19"/>
      <c r="F38" s="18"/>
      <c r="G38" s="18"/>
      <c r="H38" s="20"/>
      <c r="I38" s="18"/>
      <c r="J38" s="20"/>
      <c r="K38" s="18"/>
      <c r="L38" s="18"/>
      <c r="M38" s="18"/>
      <c r="N38" s="18"/>
      <c r="O38" s="20"/>
      <c r="P38" s="20"/>
      <c r="Q38" s="20"/>
      <c r="R38" s="21"/>
    </row>
    <row r="39" spans="1:18" x14ac:dyDescent="0.25">
      <c r="A39" s="17"/>
      <c r="B39" s="17"/>
      <c r="C39" s="17"/>
      <c r="D39" s="18"/>
      <c r="E39" s="19"/>
      <c r="F39" s="18"/>
      <c r="G39" s="18"/>
      <c r="H39" s="20"/>
      <c r="I39" s="18"/>
      <c r="J39" s="20"/>
      <c r="K39" s="18"/>
      <c r="L39" s="18"/>
      <c r="M39" s="18"/>
      <c r="N39" s="18"/>
      <c r="O39" s="20"/>
      <c r="P39" s="20"/>
      <c r="Q39" s="20"/>
      <c r="R39" s="21"/>
    </row>
    <row r="40" spans="1:18" x14ac:dyDescent="0.25">
      <c r="A40" s="17"/>
      <c r="B40" s="17"/>
      <c r="C40" s="17"/>
      <c r="D40" s="18"/>
      <c r="E40" s="19"/>
      <c r="F40" s="18"/>
      <c r="G40" s="18"/>
      <c r="H40" s="20"/>
      <c r="I40" s="18"/>
      <c r="J40" s="20"/>
      <c r="K40" s="18"/>
      <c r="L40" s="18"/>
      <c r="M40" s="18"/>
      <c r="N40" s="18"/>
      <c r="O40" s="20"/>
      <c r="P40" s="20"/>
      <c r="Q40" s="20"/>
      <c r="R40" s="21"/>
    </row>
    <row r="41" spans="1:18" x14ac:dyDescent="0.25">
      <c r="A41" s="17"/>
      <c r="B41" s="17"/>
      <c r="C41" s="17"/>
      <c r="D41" s="18"/>
      <c r="E41" s="19"/>
      <c r="F41" s="18"/>
      <c r="G41" s="18"/>
      <c r="H41" s="20"/>
      <c r="I41" s="18"/>
      <c r="J41" s="20"/>
      <c r="K41" s="18"/>
      <c r="L41" s="18"/>
      <c r="M41" s="18"/>
      <c r="N41" s="18"/>
      <c r="O41" s="20"/>
      <c r="P41" s="20"/>
      <c r="Q41" s="20"/>
      <c r="R41" s="21"/>
    </row>
    <row r="42" spans="1:18" x14ac:dyDescent="0.25">
      <c r="A42" s="17"/>
      <c r="B42" s="17"/>
      <c r="C42" s="17"/>
      <c r="D42" s="18"/>
      <c r="E42" s="19"/>
      <c r="F42" s="18"/>
      <c r="G42" s="18"/>
      <c r="H42" s="20"/>
      <c r="I42" s="18"/>
      <c r="J42" s="20"/>
      <c r="K42" s="18"/>
      <c r="L42" s="18"/>
      <c r="M42" s="18"/>
      <c r="N42" s="18"/>
      <c r="O42" s="20"/>
      <c r="P42" s="20"/>
      <c r="Q42" s="20"/>
      <c r="R42" s="21"/>
    </row>
    <row r="43" spans="1:18" x14ac:dyDescent="0.25">
      <c r="A43" s="17"/>
      <c r="B43" s="17"/>
      <c r="C43" s="17"/>
      <c r="D43" s="18"/>
      <c r="E43" s="19"/>
      <c r="F43" s="18"/>
      <c r="G43" s="18"/>
      <c r="H43" s="20"/>
      <c r="I43" s="18"/>
      <c r="J43" s="20"/>
      <c r="K43" s="18"/>
      <c r="L43" s="18"/>
      <c r="M43" s="18"/>
      <c r="N43" s="18"/>
      <c r="O43" s="20"/>
      <c r="P43" s="20"/>
      <c r="Q43" s="20"/>
      <c r="R43" s="21"/>
    </row>
    <row r="44" spans="1:18" x14ac:dyDescent="0.25">
      <c r="A44" s="17"/>
      <c r="B44" s="17"/>
      <c r="C44" s="17"/>
      <c r="D44" s="18"/>
      <c r="E44" s="19"/>
      <c r="F44" s="18"/>
      <c r="G44" s="18"/>
      <c r="H44" s="20"/>
      <c r="I44" s="18"/>
      <c r="J44" s="20"/>
      <c r="K44" s="18"/>
      <c r="L44" s="18"/>
      <c r="M44" s="18"/>
      <c r="N44" s="18"/>
      <c r="O44" s="20"/>
      <c r="P44" s="20"/>
      <c r="Q44" s="20"/>
      <c r="R44" s="21"/>
    </row>
    <row r="45" spans="1:18" x14ac:dyDescent="0.25">
      <c r="A45" s="17"/>
      <c r="B45" s="17"/>
      <c r="C45" s="17"/>
      <c r="D45" s="18"/>
      <c r="E45" s="19"/>
      <c r="F45" s="18"/>
      <c r="G45" s="18"/>
      <c r="H45" s="20"/>
      <c r="I45" s="18"/>
      <c r="J45" s="20"/>
      <c r="K45" s="18"/>
      <c r="L45" s="18"/>
      <c r="M45" s="18"/>
      <c r="N45" s="18"/>
      <c r="O45" s="20"/>
      <c r="P45" s="20"/>
      <c r="Q45" s="20"/>
      <c r="R45" s="21"/>
    </row>
    <row r="46" spans="1:18" x14ac:dyDescent="0.25">
      <c r="A46" s="17"/>
      <c r="B46" s="17"/>
      <c r="C46" s="17"/>
      <c r="D46" s="18"/>
      <c r="E46" s="19"/>
      <c r="F46" s="18"/>
      <c r="G46" s="18"/>
      <c r="H46" s="20"/>
      <c r="I46" s="18"/>
      <c r="J46" s="20"/>
      <c r="K46" s="18"/>
      <c r="L46" s="18"/>
      <c r="M46" s="18"/>
      <c r="N46" s="18"/>
      <c r="O46" s="20"/>
      <c r="P46" s="20"/>
      <c r="Q46" s="20"/>
      <c r="R46" s="21"/>
    </row>
    <row r="47" spans="1:18" x14ac:dyDescent="0.25">
      <c r="A47" s="17"/>
      <c r="B47" s="17"/>
      <c r="C47" s="17"/>
      <c r="D47" s="18"/>
      <c r="E47" s="19"/>
      <c r="F47" s="18"/>
      <c r="G47" s="18"/>
      <c r="H47" s="20"/>
      <c r="I47" s="18"/>
      <c r="J47" s="20"/>
      <c r="K47" s="18"/>
      <c r="L47" s="18"/>
      <c r="M47" s="18"/>
      <c r="N47" s="18"/>
      <c r="O47" s="20"/>
      <c r="P47" s="20"/>
      <c r="Q47" s="20"/>
      <c r="R47" s="21"/>
    </row>
    <row r="48" spans="1:18" x14ac:dyDescent="0.25">
      <c r="A48" s="17"/>
      <c r="B48" s="17"/>
      <c r="C48" s="17"/>
      <c r="D48" s="18"/>
      <c r="E48" s="19"/>
      <c r="F48" s="18"/>
      <c r="G48" s="18"/>
      <c r="H48" s="20"/>
      <c r="I48" s="18"/>
      <c r="J48" s="20"/>
      <c r="K48" s="18"/>
      <c r="L48" s="18"/>
      <c r="M48" s="18"/>
      <c r="N48" s="18"/>
      <c r="O48" s="20"/>
      <c r="P48" s="20"/>
      <c r="Q48" s="20"/>
      <c r="R48" s="21"/>
    </row>
    <row r="49" spans="1:18" x14ac:dyDescent="0.25">
      <c r="A49" s="17"/>
      <c r="B49" s="17"/>
      <c r="C49" s="17"/>
      <c r="D49" s="18"/>
      <c r="E49" s="19"/>
      <c r="F49" s="18"/>
      <c r="G49" s="18"/>
      <c r="H49" s="20"/>
      <c r="I49" s="18"/>
      <c r="J49" s="20"/>
      <c r="K49" s="18"/>
      <c r="L49" s="18"/>
      <c r="M49" s="18"/>
      <c r="N49" s="18"/>
      <c r="O49" s="20"/>
      <c r="P49" s="20"/>
      <c r="Q49" s="20"/>
      <c r="R49" s="21"/>
    </row>
    <row r="50" spans="1:18" x14ac:dyDescent="0.25">
      <c r="A50" s="17"/>
      <c r="B50" s="17"/>
      <c r="C50" s="17"/>
      <c r="D50" s="18"/>
      <c r="E50" s="19"/>
      <c r="F50" s="18"/>
      <c r="G50" s="18"/>
      <c r="H50" s="20"/>
      <c r="I50" s="18"/>
      <c r="J50" s="20"/>
      <c r="K50" s="18"/>
      <c r="L50" s="18"/>
      <c r="M50" s="18"/>
      <c r="N50" s="18"/>
      <c r="O50" s="20"/>
      <c r="P50" s="20"/>
      <c r="Q50" s="20"/>
      <c r="R50" s="21"/>
    </row>
    <row r="51" spans="1:18" x14ac:dyDescent="0.25">
      <c r="A51" s="17"/>
      <c r="B51" s="17"/>
      <c r="C51" s="17"/>
      <c r="D51" s="18"/>
      <c r="E51" s="19"/>
      <c r="F51" s="18"/>
      <c r="G51" s="18"/>
      <c r="H51" s="20"/>
      <c r="I51" s="18"/>
      <c r="J51" s="20"/>
      <c r="K51" s="18"/>
      <c r="L51" s="18"/>
      <c r="M51" s="18"/>
      <c r="N51" s="18"/>
      <c r="O51" s="20"/>
      <c r="P51" s="20"/>
      <c r="Q51" s="20"/>
      <c r="R51" s="21"/>
    </row>
    <row r="52" spans="1:18" x14ac:dyDescent="0.25">
      <c r="A52" s="17"/>
      <c r="B52" s="17"/>
      <c r="C52" s="17"/>
      <c r="D52" s="18"/>
      <c r="E52" s="19"/>
      <c r="F52" s="18"/>
      <c r="G52" s="18"/>
      <c r="H52" s="20"/>
      <c r="I52" s="18"/>
      <c r="J52" s="20"/>
      <c r="K52" s="18"/>
      <c r="L52" s="18"/>
      <c r="M52" s="18"/>
      <c r="N52" s="18"/>
      <c r="O52" s="20"/>
      <c r="P52" s="20"/>
      <c r="Q52" s="20"/>
      <c r="R52" s="21"/>
    </row>
    <row r="53" spans="1:18" x14ac:dyDescent="0.25">
      <c r="A53" s="17"/>
      <c r="B53" s="17"/>
      <c r="C53" s="17"/>
      <c r="D53" s="18"/>
      <c r="E53" s="19"/>
      <c r="F53" s="18"/>
      <c r="G53" s="18"/>
      <c r="H53" s="20"/>
      <c r="I53" s="18"/>
      <c r="J53" s="20"/>
      <c r="K53" s="18"/>
      <c r="L53" s="18"/>
      <c r="M53" s="18"/>
      <c r="N53" s="18"/>
      <c r="O53" s="20"/>
      <c r="P53" s="20"/>
      <c r="Q53" s="20"/>
      <c r="R53" s="21"/>
    </row>
    <row r="54" spans="1:18" x14ac:dyDescent="0.25">
      <c r="A54" s="17"/>
      <c r="B54" s="17"/>
      <c r="C54" s="17"/>
      <c r="D54" s="18"/>
      <c r="E54" s="19"/>
      <c r="F54" s="18"/>
      <c r="G54" s="18"/>
      <c r="H54" s="20"/>
      <c r="I54" s="18"/>
      <c r="J54" s="20"/>
      <c r="K54" s="18"/>
      <c r="L54" s="18"/>
      <c r="M54" s="18"/>
      <c r="N54" s="18"/>
      <c r="O54" s="20"/>
      <c r="P54" s="20"/>
      <c r="Q54" s="20"/>
      <c r="R54" s="21"/>
    </row>
    <row r="55" spans="1:18" x14ac:dyDescent="0.25">
      <c r="A55" s="17"/>
      <c r="B55" s="17"/>
      <c r="C55" s="17"/>
      <c r="D55" s="18"/>
      <c r="E55" s="19"/>
      <c r="F55" s="18"/>
      <c r="G55" s="18"/>
      <c r="H55" s="20"/>
      <c r="I55" s="18"/>
      <c r="J55" s="20"/>
      <c r="K55" s="18"/>
      <c r="L55" s="18"/>
      <c r="M55" s="18"/>
      <c r="N55" s="18"/>
      <c r="O55" s="20"/>
      <c r="P55" s="20"/>
      <c r="Q55" s="20"/>
      <c r="R55" s="21"/>
    </row>
    <row r="56" spans="1:18" x14ac:dyDescent="0.25">
      <c r="A56" s="17"/>
      <c r="B56" s="17"/>
      <c r="C56" s="17"/>
      <c r="D56" s="18"/>
      <c r="E56" s="19"/>
      <c r="F56" s="18"/>
      <c r="G56" s="18"/>
      <c r="H56" s="20"/>
      <c r="I56" s="18"/>
      <c r="J56" s="20"/>
      <c r="K56" s="18"/>
      <c r="L56" s="18"/>
      <c r="M56" s="18"/>
      <c r="N56" s="18"/>
      <c r="O56" s="20"/>
      <c r="P56" s="20"/>
      <c r="Q56" s="20"/>
      <c r="R56" s="21"/>
    </row>
    <row r="57" spans="1:18" x14ac:dyDescent="0.25">
      <c r="A57" s="17"/>
      <c r="B57" s="17"/>
      <c r="C57" s="17"/>
      <c r="D57" s="18"/>
      <c r="E57" s="19"/>
      <c r="F57" s="18"/>
      <c r="G57" s="18"/>
      <c r="H57" s="20"/>
      <c r="I57" s="18"/>
      <c r="J57" s="20"/>
      <c r="K57" s="18"/>
      <c r="L57" s="18"/>
      <c r="M57" s="18"/>
      <c r="N57" s="18"/>
      <c r="O57" s="20"/>
      <c r="P57" s="20"/>
      <c r="Q57" s="20"/>
      <c r="R57" s="21"/>
    </row>
    <row r="58" spans="1:18" x14ac:dyDescent="0.25">
      <c r="A58" s="17"/>
      <c r="B58" s="17"/>
      <c r="C58" s="17"/>
      <c r="D58" s="18"/>
      <c r="E58" s="19"/>
      <c r="F58" s="18"/>
      <c r="G58" s="18"/>
      <c r="H58" s="20"/>
      <c r="I58" s="18"/>
      <c r="J58" s="20"/>
      <c r="K58" s="18"/>
      <c r="L58" s="18"/>
      <c r="M58" s="18"/>
      <c r="N58" s="18"/>
      <c r="O58" s="20"/>
      <c r="P58" s="20"/>
      <c r="Q58" s="20"/>
      <c r="R58" s="21"/>
    </row>
    <row r="59" spans="1:18" x14ac:dyDescent="0.25">
      <c r="A59" s="17"/>
      <c r="B59" s="17"/>
      <c r="C59" s="17"/>
      <c r="D59" s="18"/>
      <c r="E59" s="19"/>
      <c r="F59" s="18"/>
      <c r="G59" s="18"/>
      <c r="H59" s="20"/>
      <c r="I59" s="18"/>
      <c r="J59" s="20"/>
      <c r="K59" s="18"/>
      <c r="L59" s="18"/>
      <c r="M59" s="18"/>
      <c r="N59" s="18"/>
      <c r="O59" s="20"/>
      <c r="P59" s="20"/>
      <c r="Q59" s="20"/>
      <c r="R59" s="21"/>
    </row>
    <row r="60" spans="1:18" x14ac:dyDescent="0.25">
      <c r="A60" s="17"/>
      <c r="B60" s="17"/>
      <c r="C60" s="17"/>
      <c r="D60" s="18"/>
      <c r="E60" s="19"/>
      <c r="F60" s="18"/>
      <c r="G60" s="18"/>
      <c r="H60" s="20"/>
      <c r="I60" s="18"/>
      <c r="J60" s="20"/>
      <c r="K60" s="18"/>
      <c r="L60" s="18"/>
      <c r="M60" s="18"/>
      <c r="N60" s="18"/>
      <c r="O60" s="20"/>
      <c r="P60" s="20"/>
      <c r="Q60" s="20"/>
      <c r="R60" s="21"/>
    </row>
    <row r="61" spans="1:18" x14ac:dyDescent="0.25">
      <c r="A61" s="17"/>
      <c r="B61" s="17"/>
      <c r="C61" s="17"/>
      <c r="D61" s="18"/>
      <c r="E61" s="19"/>
      <c r="F61" s="18"/>
      <c r="G61" s="18"/>
      <c r="H61" s="20"/>
      <c r="I61" s="18"/>
      <c r="J61" s="20"/>
      <c r="K61" s="18"/>
      <c r="L61" s="18"/>
      <c r="M61" s="18"/>
      <c r="N61" s="18"/>
      <c r="O61" s="20"/>
      <c r="P61" s="20"/>
      <c r="Q61" s="20"/>
      <c r="R61" s="21"/>
    </row>
    <row r="62" spans="1:18" x14ac:dyDescent="0.25">
      <c r="A62" s="17"/>
      <c r="B62" s="17"/>
      <c r="C62" s="17"/>
      <c r="D62" s="18"/>
      <c r="E62" s="19"/>
      <c r="F62" s="18"/>
      <c r="G62" s="18"/>
      <c r="H62" s="20"/>
      <c r="I62" s="18"/>
      <c r="J62" s="20"/>
      <c r="K62" s="18"/>
      <c r="L62" s="18"/>
      <c r="M62" s="18"/>
      <c r="N62" s="18"/>
      <c r="O62" s="20"/>
      <c r="P62" s="20"/>
      <c r="Q62" s="20"/>
      <c r="R62" s="21"/>
    </row>
  </sheetData>
  <sheetProtection password="CB13" sheet="1" objects="1" scenarios="1"/>
  <sortState ref="B2:M103">
    <sortCondition ref="E2:E1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B23"/>
  <sheetViews>
    <sheetView tabSelected="1" workbookViewId="0">
      <selection activeCell="D18" sqref="D18"/>
    </sheetView>
  </sheetViews>
  <sheetFormatPr defaultRowHeight="15" x14ac:dyDescent="0.25"/>
  <cols>
    <col min="2" max="2" width="14.5703125" bestFit="1" customWidth="1"/>
    <col min="5" max="5" width="4.28515625" customWidth="1"/>
  </cols>
  <sheetData>
    <row r="1" spans="2:28" x14ac:dyDescent="0.25">
      <c r="B1" s="8" t="s">
        <v>4</v>
      </c>
      <c r="V1" s="4" t="s">
        <v>22</v>
      </c>
      <c r="W1" s="4" t="s">
        <v>23</v>
      </c>
      <c r="X1" s="4" t="s">
        <v>28</v>
      </c>
      <c r="Y1" s="4" t="s">
        <v>24</v>
      </c>
      <c r="Z1" s="15" t="s">
        <v>25</v>
      </c>
      <c r="AA1" s="15" t="s">
        <v>26</v>
      </c>
      <c r="AB1" s="15" t="s">
        <v>27</v>
      </c>
    </row>
    <row r="2" spans="2:28" x14ac:dyDescent="0.25">
      <c r="B2" s="23">
        <v>29.99854376001165</v>
      </c>
      <c r="V2" s="4">
        <v>45</v>
      </c>
      <c r="W2" s="5">
        <f>RADIANS(V2)</f>
        <v>0.78539816339744828</v>
      </c>
      <c r="X2" s="6">
        <f>1/TAN(W2)</f>
        <v>1</v>
      </c>
      <c r="Y2" s="4">
        <v>0</v>
      </c>
      <c r="Z2" s="14">
        <f>AB2*X2</f>
        <v>1019.3679918450559</v>
      </c>
      <c r="AA2" s="14">
        <v>0</v>
      </c>
      <c r="AB2" s="14">
        <f>Max_Range</f>
        <v>1019.3679918450559</v>
      </c>
    </row>
    <row r="3" spans="2:28" x14ac:dyDescent="0.25">
      <c r="V3" s="4">
        <v>60</v>
      </c>
      <c r="W3" s="5">
        <f>RADIANS(V3)</f>
        <v>1.0471975511965976</v>
      </c>
      <c r="X3" s="6">
        <f t="shared" ref="X3:X6" si="0">1/TAN(W3)</f>
        <v>0.57735026918962595</v>
      </c>
      <c r="Y3" s="4">
        <v>0</v>
      </c>
      <c r="Z3" s="14">
        <f t="shared" ref="Z3:Z6" si="1">AB3*X3</f>
        <v>588.53238449503147</v>
      </c>
      <c r="AA3" s="14">
        <v>0</v>
      </c>
      <c r="AB3" s="14">
        <f>Max_Range</f>
        <v>1019.3679918450559</v>
      </c>
    </row>
    <row r="4" spans="2:28" x14ac:dyDescent="0.25">
      <c r="B4" s="3" t="s">
        <v>12</v>
      </c>
      <c r="V4" s="4">
        <v>90</v>
      </c>
      <c r="W4" s="5">
        <f>RADIANS(V4)</f>
        <v>1.5707963267948966</v>
      </c>
      <c r="X4" s="6">
        <f t="shared" si="0"/>
        <v>6.1257422745431001E-17</v>
      </c>
      <c r="Y4" s="4">
        <v>0</v>
      </c>
      <c r="Z4" s="14">
        <f t="shared" si="1"/>
        <v>6.2443856009613649E-14</v>
      </c>
      <c r="AA4" s="14">
        <v>0</v>
      </c>
      <c r="AB4" s="14">
        <f>Max_Range</f>
        <v>1019.3679918450559</v>
      </c>
    </row>
    <row r="5" spans="2:28" x14ac:dyDescent="0.25">
      <c r="B5" s="16">
        <v>100</v>
      </c>
      <c r="V5" s="4">
        <v>120</v>
      </c>
      <c r="W5" s="5">
        <f>RADIANS(V5)</f>
        <v>2.0943951023931953</v>
      </c>
      <c r="X5" s="6">
        <f t="shared" si="0"/>
        <v>-0.5773502691896254</v>
      </c>
      <c r="Y5" s="4">
        <v>0</v>
      </c>
      <c r="Z5" s="14">
        <f t="shared" si="1"/>
        <v>-588.5323844950309</v>
      </c>
      <c r="AA5" s="14">
        <v>0</v>
      </c>
      <c r="AB5" s="14">
        <f>Max_Range</f>
        <v>1019.3679918450559</v>
      </c>
    </row>
    <row r="6" spans="2:28" x14ac:dyDescent="0.25">
      <c r="V6" s="4">
        <v>135</v>
      </c>
      <c r="W6" s="5">
        <f>RADIANS(V6)</f>
        <v>2.3561944901923448</v>
      </c>
      <c r="X6" s="6">
        <f t="shared" si="0"/>
        <v>-0.99999999999999978</v>
      </c>
      <c r="Y6" s="4">
        <v>0</v>
      </c>
      <c r="Z6" s="14">
        <f t="shared" si="1"/>
        <v>-1019.3679918450557</v>
      </c>
      <c r="AA6" s="14">
        <v>0</v>
      </c>
      <c r="AB6" s="14">
        <f>Max_Range</f>
        <v>1019.3679918450559</v>
      </c>
    </row>
    <row r="7" spans="2:28" x14ac:dyDescent="0.25">
      <c r="B7" s="4" t="s">
        <v>30</v>
      </c>
    </row>
    <row r="8" spans="2:28" x14ac:dyDescent="0.25">
      <c r="B8" s="16" t="s">
        <v>20</v>
      </c>
    </row>
    <row r="11" spans="2:28" x14ac:dyDescent="0.25">
      <c r="B11" s="4" t="s">
        <v>32</v>
      </c>
      <c r="V11" s="14">
        <v>0</v>
      </c>
      <c r="W11" s="13">
        <f t="shared" ref="W11:W23" si="2">1019*COS(RADIANS(V11))</f>
        <v>1019</v>
      </c>
      <c r="X11" s="13">
        <f t="shared" ref="X11:X23" si="3">1019*SIN(RADIANS(V11))</f>
        <v>0</v>
      </c>
    </row>
    <row r="12" spans="2:28" x14ac:dyDescent="0.25">
      <c r="B12" s="16">
        <v>100</v>
      </c>
      <c r="V12" s="14">
        <v>15</v>
      </c>
      <c r="W12" s="13">
        <f t="shared" si="2"/>
        <v>984.27841698856059</v>
      </c>
      <c r="X12" s="13">
        <f t="shared" si="3"/>
        <v>263.73660695946865</v>
      </c>
    </row>
    <row r="13" spans="2:28" x14ac:dyDescent="0.25">
      <c r="V13" s="14">
        <v>30</v>
      </c>
      <c r="W13" s="13">
        <f t="shared" si="2"/>
        <v>882.47988645634302</v>
      </c>
      <c r="X13" s="13">
        <f t="shared" si="3"/>
        <v>509.49999999999994</v>
      </c>
    </row>
    <row r="14" spans="2:28" x14ac:dyDescent="0.25">
      <c r="V14" s="14">
        <v>45</v>
      </c>
      <c r="W14" s="13">
        <f t="shared" si="2"/>
        <v>720.54181002909195</v>
      </c>
      <c r="X14" s="13">
        <f t="shared" si="3"/>
        <v>720.54181002909183</v>
      </c>
    </row>
    <row r="15" spans="2:28" x14ac:dyDescent="0.25">
      <c r="V15" s="14">
        <v>60</v>
      </c>
      <c r="W15" s="13">
        <f t="shared" si="2"/>
        <v>509.50000000000011</v>
      </c>
      <c r="X15" s="13">
        <f t="shared" si="3"/>
        <v>882.47988645634291</v>
      </c>
    </row>
    <row r="16" spans="2:28" x14ac:dyDescent="0.25">
      <c r="V16" s="14">
        <v>75</v>
      </c>
      <c r="W16" s="13">
        <f t="shared" si="2"/>
        <v>263.73660695946865</v>
      </c>
      <c r="X16" s="13">
        <f t="shared" si="3"/>
        <v>984.27841698856059</v>
      </c>
    </row>
    <row r="17" spans="22:24" x14ac:dyDescent="0.25">
      <c r="V17" s="14">
        <v>90</v>
      </c>
      <c r="W17" s="13">
        <f t="shared" si="2"/>
        <v>6.242131377759419E-14</v>
      </c>
      <c r="X17" s="13">
        <f t="shared" si="3"/>
        <v>1019</v>
      </c>
    </row>
    <row r="18" spans="22:24" x14ac:dyDescent="0.25">
      <c r="V18" s="14">
        <v>105</v>
      </c>
      <c r="W18" s="13">
        <f t="shared" si="2"/>
        <v>-263.73660695946876</v>
      </c>
      <c r="X18" s="13">
        <f t="shared" si="3"/>
        <v>984.27841698856059</v>
      </c>
    </row>
    <row r="19" spans="22:24" x14ac:dyDescent="0.25">
      <c r="V19" s="14">
        <v>120</v>
      </c>
      <c r="W19" s="13">
        <f t="shared" si="2"/>
        <v>-509.49999999999977</v>
      </c>
      <c r="X19" s="13">
        <f t="shared" si="3"/>
        <v>882.47988645634302</v>
      </c>
    </row>
    <row r="20" spans="22:24" x14ac:dyDescent="0.25">
      <c r="V20" s="14">
        <v>135</v>
      </c>
      <c r="W20" s="13">
        <f t="shared" si="2"/>
        <v>-720.54181002909183</v>
      </c>
      <c r="X20" s="13">
        <f t="shared" si="3"/>
        <v>720.54181002909195</v>
      </c>
    </row>
    <row r="21" spans="22:24" x14ac:dyDescent="0.25">
      <c r="V21" s="14">
        <v>150</v>
      </c>
      <c r="W21" s="13">
        <f t="shared" si="2"/>
        <v>-882.47988645634302</v>
      </c>
      <c r="X21" s="13">
        <f t="shared" si="3"/>
        <v>509.49999999999994</v>
      </c>
    </row>
    <row r="22" spans="22:24" x14ac:dyDescent="0.25">
      <c r="V22" s="14">
        <v>165</v>
      </c>
      <c r="W22" s="13">
        <f t="shared" si="2"/>
        <v>-984.27841698856048</v>
      </c>
      <c r="X22" s="13">
        <f t="shared" si="3"/>
        <v>263.73660695946893</v>
      </c>
    </row>
    <row r="23" spans="22:24" x14ac:dyDescent="0.25">
      <c r="V23" s="14">
        <v>180</v>
      </c>
      <c r="W23" s="13">
        <f t="shared" si="2"/>
        <v>-1019</v>
      </c>
      <c r="X23" s="13">
        <f t="shared" si="3"/>
        <v>1.2484262755518838E-13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data!$AA$1:$AA$2</xm:f>
          </x14:formula1>
          <xm:sqref>B8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data</vt:lpstr>
      <vt:lpstr>pump</vt:lpstr>
      <vt:lpstr>ball_count</vt:lpstr>
      <vt:lpstr>Clock</vt:lpstr>
      <vt:lpstr>Gravity</vt:lpstr>
      <vt:lpstr>Initial_Velocity</vt:lpstr>
      <vt:lpstr>Max_height</vt:lpstr>
      <vt:lpstr>Max_Range</vt:lpstr>
      <vt:lpstr>Time_Lag</vt:lpstr>
      <vt:lpstr>Time_steps</vt:lpstr>
      <vt:lpstr>Total_Time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2020-04-27T04:21:52Z</dcterms:created>
  <dcterms:modified xsi:type="dcterms:W3CDTF">2020-04-27T15:27:16Z</dcterms:modified>
</cp:coreProperties>
</file>